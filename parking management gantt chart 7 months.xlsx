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25173d6f094d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ntt Chart" sheetId="1" r:id="R16b53d7dfd2b435c"/>
  </x:sheets>
</x:workbook>
</file>

<file path=xl/sharedStrings.xml><?xml version="1.0" encoding="utf-8"?>
<x:sst xmlns:x="http://schemas.openxmlformats.org/spreadsheetml/2006/main">
  <x:si>
    <x:t xml:space="preserve">WBS</x:t>
  </x:si>
  <x:si>
    <x:t xml:space="preserve">Workstream</x:t>
  </x:si>
  <x:si>
    <x:t xml:space="preserve">Task / Deliverable</x:t>
  </x:si>
  <x:si>
    <x:t xml:space="preserve">Start</x:t>
  </x:si>
  <x:si>
    <x:t xml:space="preserve">Finish</x:t>
  </x:si>
  <x:si>
    <x:t xml:space="preserve">Workdays</x:t>
  </x:si>
  <x:si>
    <x:t xml:space="preserve">Status</x:t>
  </x:si>
  <x:si>
    <x:t xml:space="preserve">1.1</x:t>
  </x:si>
  <x:si>
    <x:t xml:space="preserve">Authentication</x:t>
  </x:si>
  <x:si>
    <x:t xml:space="preserve">New user registration</x:t>
  </x:si>
  <x:si>
    <x:t xml:space="preserve">1.2</x:t>
  </x:si>
  <x:si>
    <x:t xml:space="preserve">Login (username and password)</x:t>
  </x:si>
  <x:si>
    <x:t xml:space="preserve">1.3</x:t>
  </x:si>
  <x:si>
    <x:t xml:space="preserve">Home page prompt</x:t>
  </x:si>
  <x:si>
    <x:t xml:space="preserve">2.1.1</x:t>
  </x:si>
  <x:si>
    <x:t xml:space="preserve">User Management</x:t>
  </x:si>
  <x:si>
    <x:t xml:space="preserve">Add user</x:t>
  </x:si>
  <x:si>
    <x:t xml:space="preserve">2.1.2</x:t>
  </x:si>
  <x:si>
    <x:t xml:space="preserve">Edit user information</x:t>
  </x:si>
  <x:si>
    <x:t xml:space="preserve">2.1.3</x:t>
  </x:si>
  <x:si>
    <x:t xml:space="preserve">Remove user</x:t>
  </x:si>
  <x:si>
    <x:t xml:space="preserve">2.2.1</x:t>
  </x:si>
  <x:si>
    <x:t xml:space="preserve">Add operator</x:t>
  </x:si>
  <x:si>
    <x:t xml:space="preserve">2.2.2</x:t>
  </x:si>
  <x:si>
    <x:t xml:space="preserve">Edit operator information</x:t>
  </x:si>
  <x:si>
    <x:t xml:space="preserve">2.2.3</x:t>
  </x:si>
  <x:si>
    <x:t xml:space="preserve">Remove operator</x:t>
  </x:si>
  <x:si>
    <x:t xml:space="preserve">2.M</x:t>
  </x:si>
  <x:si>
    <x:t xml:space="preserve"> testing</x:t>
  </x:si>
  <x:si>
    <x:t xml:space="preserve">3.1</x:t>
  </x:si>
  <x:si>
    <x:t xml:space="preserve">Front Page</x:t>
  </x:si>
  <x:si>
    <x:t xml:space="preserve">Navigation bar shell</x:t>
  </x:si>
  <x:si>
    <x:t xml:space="preserve">3.1.1</x:t>
  </x:si>
  <x:si>
    <x:t xml:space="preserve">Home navigation</x:t>
  </x:si>
  <x:si>
    <x:t xml:space="preserve">3.1.2</x:t>
  </x:si>
  <x:si>
    <x:t xml:space="preserve">Account navigation</x:t>
  </x:si>
  <x:si>
    <x:t xml:space="preserve">3.1.3</x:t>
  </x:si>
  <x:si>
    <x:t xml:space="preserve">Parking navigation</x:t>
  </x:si>
  <x:si>
    <x:t xml:space="preserve">3.2.1</x:t>
  </x:si>
  <x:si>
    <x:t xml:space="preserve">Parking information display</x:t>
  </x:si>
  <x:si>
    <x:t xml:space="preserve">3.2.2</x:t>
  </x:si>
  <x:si>
    <x:t xml:space="preserve">Notifications display</x:t>
  </x:si>
</x:sst>
</file>

<file path=xl/styles.xml><?xml version="1.0" encoding="utf-8"?>
<x:styleSheet xmlns:x="http://schemas.openxmlformats.org/spreadsheetml/2006/main">
  <x:numFmts count="5">
    <x:numFmt numFmtId="164" formatCode="mmm\ d"/>
    <x:numFmt numFmtId="165" formatCode="mm/dd/yy"/>
    <x:numFmt numFmtId="200" formatCode="mmm d"/>
    <x:numFmt numFmtId="201" formatCode="mmm d, yyyy"/>
    <x:numFmt numFmtId="202" formatCode="0"/>
  </x:numFmts>
  <x:fonts count="17">
    <x:font>
      <x:sz val="11"/>
      <x:name val="Carlito"/>
    </x:font>
    <x:font>
      <x:b/>
      <x:sz val="15"/>
      <x:color rgb="FF17365D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9"/>
      <x:color rgb="FF222222"/>
      <x:name val="Arial"/>
    </x:font>
    <x:font>
      <x:b/>
      <x:sz val="11"/>
      <x:color rgb="FF4F81BD"/>
      <x:name val="Arial"/>
    </x:font>
    <x:font>
      <x:b/>
      <x:sz val="9"/>
      <x:color rgb="FF5B9BD5"/>
      <x:name val="Arial"/>
    </x:font>
    <x:font>
      <x:b/>
      <x:sz val="11"/>
      <x:color rgb="FFFFFFFF"/>
      <x:name val="Arial"/>
    </x:font>
    <x:font>
      <x:b/>
      <x:sz val="9"/>
      <x:color rgb="FF70AD47"/>
      <x:name val="Arial"/>
    </x:font>
    <x:font>
      <x:b/>
      <x:sz val="9"/>
      <x:color rgb="FFED7D31"/>
      <x:name val="Arial"/>
    </x:font>
    <x:font>
      <x:b/>
      <x:sz val="9"/>
      <x:color rgb="FFA5A5A5"/>
      <x:name val="Arial"/>
    </x:font>
    <x:font>
      <x:b/>
      <x:sz val="9"/>
      <x:color rgb="FF4472C4"/>
      <x:name val="Arial"/>
    </x:font>
    <x:font>
      <x:b/>
      <x:sz val="9"/>
      <x:color rgb="FFFFC000"/>
      <x:name val="Arial"/>
    </x:font>
    <x:font>
      <x:b/>
      <x:sz val="9"/>
      <x:color rgb="FF8064A2"/>
      <x:name val="Arial"/>
    </x:font>
    <x:font>
      <x:b/>
      <x:sz val="9"/>
      <x:color rgb="FFC00000"/>
      <x:name val="Arial"/>
    </x:font>
    <x:font>
      <x:b/>
      <x:sz val="10"/>
      <x:color rgb="FF17365D"/>
      <x:name val="Arial"/>
    </x:font>
    <x:font>
      <x:i/>
      <x:sz val="9"/>
      <x:color rgb="FF666666"/>
      <x:name val="Arial"/>
    </x:font>
  </x:fonts>
  <x:fills count="1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  <x:fill>
      <x:patternFill patternType="solid">
        <x:fgColor rgb="FFED7D31"/>
      </x:patternFill>
    </x:fill>
    <x:fill>
      <x:patternFill patternType="solid">
        <x:fgColor rgb="FFA5A5A5"/>
      </x:patternFill>
    </x:fill>
    <x:fill>
      <x:patternFill patternType="solid">
        <x:fgColor rgb="FF4472C4"/>
      </x:patternFill>
    </x:fill>
    <x:fill>
      <x:patternFill patternType="solid">
        <x:fgColor rgb="FFFFC000"/>
      </x:patternFill>
    </x:fill>
    <x:fill>
      <x:patternFill patternType="solid">
        <x:fgColor rgb="FF8064A2"/>
      </x:patternFill>
    </x:fill>
    <x:fill>
      <x:patternFill patternType="solid">
        <x:fgColor rgb="FFC00000"/>
      </x:patternFill>
    </x:fill>
    <x:fill>
      <x:patternFill patternType="solid">
        <x:fgColor rgb="FFD9E2F3"/>
      </x:patternFill>
    </x:fill>
  </x:fills>
  <x:borders count="8">
    <x:border/>
    <x:border>
      <x:bottom style="medium">
        <x:color rgb="FF17365D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6E6E6"/>
      </x:bottom>
    </x:border>
    <x:border>
      <x:top style="thin">
        <x:color rgb="FFE6E6E6"/>
      </x:top>
      <x:bottom style="thin">
        <x:color rgb="FFE6E6E6"/>
      </x:bottom>
    </x:border>
    <x:border>
      <x:top style="thin">
        <x:color rgb="FFE6E6E6"/>
      </x:top>
    </x:border>
  </x:borders>
  <x:cellStyleXfs count="1">
    <x:xf numFmtId="0" fontId="0" fillId="0" borderId="0"/>
  </x:cellStyleXfs>
  <x:cellXfs count="97">
    <x:xf numFmtId="0" fontId="0" fillId="0" borderId="0" xfId="0"/>
    <x:xf numFmtId="0" fontId="0" fillId="0" borderId="1" xfId="0" applyBorder="1"/>
    <x:xf numFmtId="0" fontId="1" fillId="0" borderId="1" xfId="0" applyFont="1" applyBorder="1"/>
    <x:xf numFmtId="0" fontId="2" fillId="0" borderId="0" xfId="0" applyFont="1"/>
    <x:xf numFmtId="0" fontId="3" fillId="2" borderId="2" xfId="0" applyFont="1" applyFill="1" applyBorder="1" applyAlignment="1">
      <x:alignment horizontal="center" vertical="center"/>
    </x:xf>
    <x:xf numFmtId="0" fontId="3" fillId="2" borderId="3" xfId="0" applyFont="1" applyFill="1" applyBorder="1" applyAlignment="1">
      <x:alignment horizontal="center" vertical="center"/>
    </x:xf>
    <x:xf numFmtId="164" fontId="3" fillId="2" borderId="3" xfId="0" applyNumberFormat="1" applyFont="1" applyFill="1" applyBorder="1" applyAlignment="1">
      <x:alignment horizontal="center" vertical="center"/>
    </x:xf>
    <x:xf numFmtId="164" fontId="3" fillId="2" borderId="4" xfId="0" applyNumberFormat="1" applyFont="1" applyFill="1" applyBorder="1" applyAlignment="1">
      <x:alignment horizontal="center" vertical="center"/>
    </x:xf>
    <x:xf numFmtId="165" fontId="4" fillId="0" borderId="5" xfId="0" applyNumberFormat="1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165" fontId="4" fillId="0" borderId="6" xfId="0" applyNumberFormat="1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165" fontId="4" fillId="0" borderId="7" xfId="0" applyNumberFormat="1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7" fillId="3" borderId="5" xfId="0" applyFont="1" applyFill="1" applyBorder="1" applyAlignment="1">
      <x:alignment horizontal="center" vertical="center"/>
    </x:xf>
    <x:xf numFmtId="0" fontId="7" fillId="3" borderId="6" xfId="0" applyFont="1" applyFill="1" applyBorder="1" applyAlignment="1">
      <x:alignment horizontal="center" vertical="center"/>
    </x:xf>
    <x:xf numFmtId="0" fontId="7" fillId="4" borderId="6" xfId="0" applyFont="1" applyFill="1" applyBorder="1" applyAlignment="1">
      <x:alignment horizontal="center" vertical="center"/>
    </x:xf>
    <x:xf numFmtId="0" fontId="7" fillId="5" borderId="6" xfId="0" applyFont="1" applyFill="1" applyBorder="1" applyAlignment="1">
      <x:alignment horizontal="center" vertical="center"/>
    </x:xf>
    <x:xf numFmtId="0" fontId="7" fillId="6" borderId="6" xfId="0" applyFont="1" applyFill="1" applyBorder="1" applyAlignment="1">
      <x:alignment horizontal="center" vertical="center"/>
    </x:xf>
    <x:xf numFmtId="0" fontId="7" fillId="7" borderId="6" xfId="0" applyFont="1" applyFill="1" applyBorder="1" applyAlignment="1">
      <x:alignment horizontal="center" vertical="center"/>
    </x:xf>
    <x:xf numFmtId="0" fontId="7" fillId="8" borderId="6" xfId="0" applyFont="1" applyFill="1" applyBorder="1" applyAlignment="1">
      <x:alignment horizontal="center" vertical="center"/>
    </x:xf>
    <x:xf numFmtId="0" fontId="7" fillId="9" borderId="6" xfId="0" applyFont="1" applyFill="1" applyBorder="1" applyAlignment="1">
      <x:alignment horizontal="center" vertical="center"/>
    </x:xf>
    <x:xf numFmtId="0" fontId="7" fillId="10" borderId="6" xfId="0" applyFont="1" applyFill="1" applyBorder="1" applyAlignment="1">
      <x:alignment horizontal="center" vertical="center"/>
    </x:xf>
    <x:xf numFmtId="0" fontId="7" fillId="10" borderId="7" xfId="0" applyFont="1" applyFill="1" applyBorder="1" applyAlignment="1">
      <x:alignment horizontal="center" vertical="center"/>
    </x:xf>
    <x:xf numFmtId="0" fontId="15" fillId="11" borderId="0" xfId="0" applyFont="1" applyFill="1"/>
    <x:xf numFmtId="165" fontId="0" fillId="0" borderId="0" xfId="0" applyNumberFormat="1"/>
    <x:xf numFmtId="0" fontId="15" fillId="0" borderId="0" xfId="0" applyFont="1"/>
    <x:xf numFmtId="0" fontId="16" fillId="0" borderId="0" xfId="0" applyFont="1"/>
    <x:xf numFmtId="0" fontId="4" fillId="0" borderId="5" xfId="0" applyFont="1" applyBorder="1" applyAlignment="1">
      <x:alignment vertical="center" wrapText="1"/>
    </x:xf>
    <x:xf numFmtId="0" fontId="6" fillId="0" borderId="5" xfId="0" applyFont="1" applyBorder="1" applyAlignment="1">
      <x:alignment vertical="center" wrapText="1"/>
    </x:xf>
    <x:xf numFmtId="0" fontId="4" fillId="0" borderId="6" xfId="0" applyFont="1" applyBorder="1" applyAlignment="1">
      <x:alignment vertical="center" wrapText="1"/>
    </x:xf>
    <x:xf numFmtId="0" fontId="6" fillId="0" borderId="6" xfId="0" applyFont="1" applyBorder="1" applyAlignment="1">
      <x:alignment vertical="center" wrapText="1"/>
    </x:xf>
    <x:xf numFmtId="0" fontId="8" fillId="0" borderId="6" xfId="0" applyFont="1" applyBorder="1" applyAlignment="1">
      <x:alignment vertical="center" wrapText="1"/>
    </x:xf>
    <x:xf numFmtId="0" fontId="9" fillId="0" borderId="6" xfId="0" applyFont="1" applyBorder="1" applyAlignment="1">
      <x:alignment vertical="center" wrapText="1"/>
    </x:xf>
    <x:xf numFmtId="0" fontId="10" fillId="0" borderId="6" xfId="0" applyFont="1" applyBorder="1" applyAlignment="1">
      <x:alignment vertical="center" wrapText="1"/>
    </x:xf>
    <x:xf numFmtId="0" fontId="11" fillId="0" borderId="6" xfId="0" applyFont="1" applyBorder="1" applyAlignment="1">
      <x:alignment vertical="center" wrapText="1"/>
    </x:xf>
    <x:xf numFmtId="0" fontId="12" fillId="0" borderId="6" xfId="0" applyFont="1" applyBorder="1" applyAlignment="1">
      <x:alignment vertical="center" wrapText="1"/>
    </x:xf>
    <x:xf numFmtId="0" fontId="13" fillId="0" borderId="6" xfId="0" applyFont="1" applyBorder="1" applyAlignment="1">
      <x:alignment vertical="center" wrapText="1"/>
    </x:xf>
    <x:xf numFmtId="0" fontId="14" fillId="0" borderId="6" xfId="0" applyFont="1" applyBorder="1" applyAlignment="1">
      <x:alignment vertical="center" wrapText="1"/>
    </x:xf>
    <x:xf numFmtId="0" fontId="4" fillId="0" borderId="7" xfId="0" applyFont="1" applyBorder="1" applyAlignment="1">
      <x:alignment vertical="center" wrapText="1"/>
    </x:xf>
    <x:xf numFmtId="0" fontId="14" fillId="0" borderId="7" xfId="0" applyFont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165" fontId="4" fillId="0" borderId="5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165" fontId="4" fillId="0" borderId="6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165" fontId="4" fillId="0" borderId="7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0" fontId="7" fillId="3" borderId="5" xfId="0" applyNumberFormat="1" applyFont="1" applyFill="1" applyBorder="1" applyAlignment="1">
      <x:alignment horizontal="center" vertical="center"/>
    </x:xf>
    <x:xf numFmtId="0" fontId="7" fillId="3" borderId="6" xfId="0" applyNumberFormat="1" applyFont="1" applyFill="1" applyBorder="1" applyAlignment="1">
      <x:alignment horizontal="center" vertical="center"/>
    </x:xf>
    <x:xf numFmtId="0" fontId="7" fillId="4" borderId="6" xfId="0" applyNumberFormat="1" applyFont="1" applyFill="1" applyBorder="1" applyAlignment="1">
      <x:alignment horizontal="center" vertical="center"/>
    </x:xf>
    <x:xf numFmtId="0" fontId="7" fillId="5" borderId="6" xfId="0" applyNumberFormat="1" applyFont="1" applyFill="1" applyBorder="1" applyAlignment="1">
      <x:alignment horizontal="center" vertical="center"/>
    </x:xf>
    <x:xf numFmtId="0" fontId="7" fillId="6" borderId="6" xfId="0" applyNumberFormat="1" applyFont="1" applyFill="1" applyBorder="1" applyAlignment="1">
      <x:alignment horizontal="center" vertical="center"/>
    </x:xf>
    <x:xf numFmtId="0" fontId="7" fillId="7" borderId="6" xfId="0" applyNumberFormat="1" applyFont="1" applyFill="1" applyBorder="1" applyAlignment="1">
      <x:alignment horizontal="center" vertical="center"/>
    </x:xf>
    <x:xf numFmtId="0" fontId="7" fillId="8" borderId="6" xfId="0" applyNumberFormat="1" applyFont="1" applyFill="1" applyBorder="1" applyAlignment="1">
      <x:alignment horizontal="center" vertical="center"/>
    </x:xf>
    <x:xf numFmtId="0" fontId="7" fillId="9" borderId="6" xfId="0" applyNumberFormat="1" applyFont="1" applyFill="1" applyBorder="1" applyAlignment="1">
      <x:alignment horizontal="center" vertical="center"/>
    </x:xf>
    <x:xf numFmtId="0" fontId="7" fillId="10" borderId="6" xfId="0" applyNumberFormat="1" applyFont="1" applyFill="1" applyBorder="1" applyAlignment="1">
      <x:alignment horizontal="center" vertical="center"/>
    </x:xf>
    <x:xf numFmtId="0" fontId="7" fillId="10" borderId="7" xfId="0" applyNumberFormat="1" applyFont="1" applyFill="1" applyBorder="1" applyAlignment="1">
      <x:alignment horizontal="center" vertical="center"/>
    </x:xf>
    <x:xf numFmtId="0" fontId="15" fillId="11" borderId="0" xfId="0" applyNumberFormat="1" applyFont="1" applyFill="1" applyBorder="1"/>
    <x:xf numFmtId="165" fontId="0" fillId="0" borderId="0" xfId="0" applyNumberFormat="1" applyFont="1" applyFill="1" applyBorder="1"/>
    <x:xf numFmtId="0" fontId="15" fillId="0" borderId="0" xfId="0" applyNumberFormat="1" applyFont="1" applyFill="1" applyBorder="1"/>
    <x:xf numFmtId="0" fontId="16" fillId="0" borderId="0" xfId="0" applyNumberFormat="1" applyFont="1" applyFill="1" applyBorder="1"/>
    <x:xf numFmtId="0" fontId="4" fillId="0" borderId="5" xfId="0" applyNumberFormat="1" applyFont="1" applyFill="1" applyBorder="1" applyAlignment="1">
      <x:alignment vertical="center" wrapText="1"/>
    </x:xf>
    <x:xf numFmtId="0" fontId="6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6" fillId="0" borderId="6" xfId="0" applyNumberFormat="1" applyFont="1" applyFill="1" applyBorder="1" applyAlignment="1">
      <x:alignment vertical="center" wrapText="1"/>
    </x:xf>
    <x:xf numFmtId="0" fontId="8" fillId="0" borderId="6" xfId="0" applyNumberFormat="1" applyFont="1" applyFill="1" applyBorder="1" applyAlignment="1">
      <x:alignment vertical="center" wrapText="1"/>
    </x:xf>
    <x:xf numFmtId="0" fontId="9" fillId="0" borderId="6" xfId="0" applyNumberFormat="1" applyFont="1" applyFill="1" applyBorder="1" applyAlignment="1">
      <x:alignment vertical="center" wrapText="1"/>
    </x:xf>
    <x:xf numFmtId="0" fontId="10" fillId="0" borderId="6" xfId="0" applyNumberFormat="1" applyFont="1" applyFill="1" applyBorder="1" applyAlignment="1">
      <x:alignment vertical="center" wrapText="1"/>
    </x:xf>
    <x:xf numFmtId="0" fontId="11" fillId="0" borderId="6" xfId="0" applyNumberFormat="1" applyFont="1" applyFill="1" applyBorder="1" applyAlignment="1">
      <x:alignment vertical="center" wrapText="1"/>
    </x:xf>
    <x:xf numFmtId="0" fontId="12" fillId="0" borderId="6" xfId="0" applyNumberFormat="1" applyFont="1" applyFill="1" applyBorder="1" applyAlignment="1">
      <x:alignment vertical="center" wrapText="1"/>
    </x:xf>
    <x:xf numFmtId="0" fontId="13" fillId="0" borderId="6" xfId="0" applyNumberFormat="1" applyFont="1" applyFill="1" applyBorder="1" applyAlignment="1">
      <x:alignment vertical="center" wrapText="1"/>
    </x:xf>
    <x:xf numFmtId="0" fontId="1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14" fillId="0" borderId="7" xfId="0" applyNumberFormat="1" applyFont="1" applyFill="1" applyBorder="1" applyAlignment="1">
      <x:alignment vertical="center" wrapText="1"/>
    </x:xf>
    <x:xf numFmtId="200" fontId="3" fillId="2" borderId="3" xfId="0" applyNumberFormat="1" applyFont="1" applyFill="1" applyBorder="1" applyAlignment="1">
      <x:alignment horizontal="center" vertical="center"/>
    </x:xf>
    <x:xf numFmtId="200" fontId="3" fillId="2" borderId="4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4" fillId="0" borderId="5" xfId="0" applyNumberFormat="1" applyFont="1" applyFill="1" applyBorder="1" applyAlignment="1">
      <x:alignment horizontal="center" vertical="center"/>
    </x:xf>
    <x:xf numFmtId="201" fontId="4" fillId="0" borderId="6" xfId="0" applyNumberFormat="1" applyFont="1" applyFill="1" applyBorder="1" applyAlignment="1">
      <x:alignment horizontal="center" vertical="center"/>
    </x:xf>
    <x:xf numFmtId="201" fontId="4" fillId="0" borderId="7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2" fontId="4" fillId="0" borderId="5" xfId="0" applyNumberFormat="1" applyFont="1" applyFill="1" applyBorder="1" applyAlignment="1">
      <x:alignment horizontal="center" vertical="center"/>
    </x:xf>
    <x:xf numFmtId="202" fontId="4" fillId="0" borderId="6" xfId="0" applyNumberFormat="1" applyFont="1" applyFill="1" applyBorder="1" applyAlignment="1">
      <x:alignment horizontal="center" vertical="center"/>
    </x:xf>
    <x:xf numFmtId="202" fontId="4" fillId="0" borderId="7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0b4f573ddb416d" /><Relationship Type="http://schemas.openxmlformats.org/officeDocument/2006/relationships/theme" Target="/xl/theme/theme1.xml" Id="Rbd6c898b065c43e0" /><Relationship Type="http://schemas.openxmlformats.org/officeDocument/2006/relationships/sharedStrings" Target="/xl/sharedStrings.xml" Id="R01376c7234bd4c35" /><Relationship Type="http://schemas.openxmlformats.org/officeDocument/2006/relationships/worksheet" Target="/xl/worksheets/sheet1.xml" Id="R16b53d7dfd2b43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3" ySplit="5" topLeftCell="D6" activePane="bottomRight" state="frozen"/>
    </x:sheetView>
  </x:sheetViews>
  <x:sheetFormatPr defaultRowHeight="14"/>
  <x:cols>
    <x:col min="1" max="1" width="12" hidden="0" customWidth="1"/>
    <x:col min="2" max="2" width="18" customWidth="1"/>
    <x:col min="3" max="3" width="34" customWidth="1"/>
    <x:col min="4" max="5" width="11" customWidth="1"/>
    <x:col min="6" max="6" width="10" customWidth="1"/>
    <x:col min="7" max="7" width="11" customWidth="1"/>
    <x:col min="8" max="23" width="8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</x:cols>
  <x:sheetData>
    <x:row r="2" ht="19.5">
      <x:c r="A2" s="2" t="str">
        <x:v>Parking Management System — Project Gantt Chart (7-Month Plan)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</x:row>
    <x:row r="3">
      <x:c r="A3" s="3" t="str">
        <x:v>Revised baseline: September 21, 2026–April 20, 2027 | 7 calendar months | Weekly schedule; proposed dates</x:v>
      </x:c>
    </x:row>
    <x:row r="5" ht="32" customHeight="1">
      <x:c r="A5" s="4" t="s">
        <x:v>0</x:v>
      </x:c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86" t="n">
        <x:v>46286</x:v>
      </x:c>
      <x:c r="I5" s="86" t="n">
        <x:v>46293</x:v>
      </x:c>
      <x:c r="J5" s="86" t="n">
        <x:v>46300</x:v>
      </x:c>
      <x:c r="K5" s="86" t="n">
        <x:v>46307</x:v>
      </x:c>
      <x:c r="L5" s="86" t="n">
        <x:v>46314</x:v>
      </x:c>
      <x:c r="M5" s="86" t="n">
        <x:v>46321</x:v>
      </x:c>
      <x:c r="N5" s="86" t="n">
        <x:v>46328</x:v>
      </x:c>
      <x:c r="O5" s="86" t="n">
        <x:v>46335</x:v>
      </x:c>
      <x:c r="P5" s="86" t="n">
        <x:v>46342</x:v>
      </x:c>
      <x:c r="Q5" s="86" t="n">
        <x:v>46349</x:v>
      </x:c>
      <x:c r="R5" s="86" t="n">
        <x:v>46356</x:v>
      </x:c>
      <x:c r="S5" s="86" t="n">
        <x:v>46363</x:v>
      </x:c>
      <x:c r="T5" s="86" t="n">
        <x:v>46370</x:v>
      </x:c>
      <x:c r="U5" s="86" t="n">
        <x:v>46377</x:v>
      </x:c>
      <x:c r="V5" s="86" t="n">
        <x:v>46384</x:v>
      </x:c>
      <x:c r="W5" s="87" t="n">
        <x:v>46391</x:v>
      </x:c>
      <x:c r="X5" s="88" t="n">
        <x:v>46398</x:v>
      </x:c>
      <x:c r="Y5" s="88" t="n">
        <x:v>46405</x:v>
      </x:c>
      <x:c r="Z5" s="88" t="n">
        <x:v>46412</x:v>
      </x:c>
      <x:c r="AA5" s="88" t="n">
        <x:v>46419</x:v>
      </x:c>
      <x:c r="AB5" s="88" t="n">
        <x:v>46426</x:v>
      </x:c>
      <x:c r="AC5" s="88" t="n">
        <x:v>46433</x:v>
      </x:c>
      <x:c r="AD5" s="88" t="n">
        <x:v>46440</x:v>
      </x:c>
      <x:c r="AE5" s="88" t="n">
        <x:v>46447</x:v>
      </x:c>
      <x:c r="AF5" s="88" t="n">
        <x:v>46454</x:v>
      </x:c>
      <x:c r="AG5" s="88" t="n">
        <x:v>46461</x:v>
      </x:c>
      <x:c r="AH5" s="88" t="n">
        <x:v>46468</x:v>
      </x:c>
      <x:c r="AI5" s="88" t="n">
        <x:v>46475</x:v>
      </x:c>
      <x:c r="AJ5" s="88" t="n">
        <x:v>46482</x:v>
      </x:c>
      <x:c r="AK5" s="88" t="n">
        <x:v>46489</x:v>
      </x:c>
      <x:c r="AL5" s="88" t="n">
        <x:v>46496</x:v>
      </x:c>
    </x:row>
    <x:row r="6" ht="24" customHeight="1">
      <x:c r="A6" s="31" t="s">
        <x:v>7</x:v>
      </x:c>
      <x:c r="B6" s="32" t="s">
        <x:v>8</x:v>
      </x:c>
      <x:c r="C6" s="31" t="s">
        <x:v>9</x:v>
      </x:c>
      <x:c r="D6" s="89" t="n">
        <x:v>46307</x:v>
      </x:c>
      <x:c r="E6" s="89" t="n">
        <x:v>46314</x:v>
      </x:c>
      <x:c r="F6" s="93" t="n">
        <x:f t="shared" ref="F6:F36" si="0">NETWORKDAYS(D6,E6)</x:f>
        <x:v>6</x:v>
      </x:c>
      <x:c r="G6" s="9" t="str">
        <x:v>Planned</x:v>
      </x:c>
      <x:c r="H6" s="17">
        <x:f t="shared" ref="H6:W14" si="1">IF(AND(H$5&lt;=$E6,H$5+6&gt;=$D6),"■","")</x:f>
      </x:c>
      <x:c r="I6" s="10">
        <x:f t="shared" si="1"/>
      </x:c>
      <x:c r="J6" s="10">
        <x:f t="shared" si="1"/>
      </x:c>
      <x:c r="K6" s="10" t="str">
        <x:f t="shared" si="1"/>
        <x:v>■</x:v>
      </x:c>
      <x:c r="L6" s="10" t="str">
        <x:f t="shared" si="1"/>
        <x:v>■</x:v>
      </x:c>
      <x:c r="M6" s="10">
        <x:f t="shared" si="1"/>
      </x:c>
      <x:c r="N6" s="10">
        <x:f t="shared" si="1"/>
      </x:c>
      <x:c r="O6" s="10">
        <x:f t="shared" si="1"/>
      </x:c>
      <x:c r="P6" s="10">
        <x:f t="shared" si="1"/>
      </x:c>
      <x:c r="Q6" s="10">
        <x:f t="shared" si="1"/>
      </x:c>
      <x:c r="R6" s="10">
        <x:f t="shared" si="1"/>
      </x:c>
      <x:c r="S6" s="10">
        <x:f t="shared" si="1"/>
      </x:c>
      <x:c r="T6" s="10">
        <x:f t="shared" si="1"/>
      </x:c>
      <x:c r="U6" s="10">
        <x:f t="shared" si="1"/>
      </x:c>
      <x:c r="V6" s="10">
        <x:f t="shared" si="1"/>
      </x:c>
      <x:c r="W6" s="10">
        <x:f t="shared" si="1"/>
      </x:c>
      <x:c r="X6"/>
      <x:c r="Y6"/>
      <x:c r="Z6"/>
      <x:c r="AA6"/>
      <x:c r="AB6"/>
      <x:c r="AC6"/>
      <x:c r="AD6"/>
      <x:c r="AE6"/>
      <x:c r="AF6"/>
      <x:c r="AG6"/>
      <x:c r="AH6"/>
      <x:c r="AI6"/>
      <x:c r="AJ6"/>
      <x:c r="AK6"/>
      <x:c r="AL6"/>
    </x:row>
    <x:row r="7" ht="24" customHeight="1">
      <x:c r="A7" s="33" t="s">
        <x:v>10</x:v>
      </x:c>
      <x:c r="B7" s="34" t="s">
        <x:v>8</x:v>
      </x:c>
      <x:c r="C7" s="33" t="s">
        <x:v>11</x:v>
      </x:c>
      <x:c r="D7" s="90" t="n">
        <x:v>46311</x:v>
      </x:c>
      <x:c r="E7" s="90" t="n">
        <x:v>46321</x:v>
      </x:c>
      <x:c r="F7" s="94" t="n">
        <x:f t="shared" si="0"/>
        <x:v>7</x:v>
      </x:c>
      <x:c r="G7" s="12" t="str">
        <x:v>Planned</x:v>
      </x:c>
      <x:c r="H7" s="18">
        <x:f t="shared" si="1"/>
      </x:c>
      <x:c r="I7" s="18">
        <x:f t="shared" si="1"/>
      </x:c>
      <x:c r="J7" s="13">
        <x:f t="shared" si="1"/>
      </x:c>
      <x:c r="K7" s="13" t="str">
        <x:f t="shared" si="1"/>
        <x:v>■</x:v>
      </x:c>
      <x:c r="L7" s="13" t="str">
        <x:f t="shared" si="1"/>
        <x:v>■</x:v>
      </x:c>
      <x:c r="M7" s="13" t="str">
        <x:f t="shared" si="1"/>
        <x:v>■</x:v>
      </x:c>
      <x:c r="N7" s="13">
        <x:f t="shared" si="1"/>
      </x:c>
      <x:c r="O7" s="13">
        <x:f t="shared" si="1"/>
      </x:c>
      <x:c r="P7" s="13">
        <x:f t="shared" si="1"/>
      </x:c>
      <x:c r="Q7" s="13">
        <x:f t="shared" si="1"/>
      </x:c>
      <x:c r="R7" s="13">
        <x:f t="shared" si="1"/>
      </x:c>
      <x:c r="S7" s="13">
        <x:f t="shared" si="1"/>
      </x:c>
      <x:c r="T7" s="13">
        <x:f t="shared" si="1"/>
      </x:c>
      <x:c r="U7" s="13">
        <x:f t="shared" si="1"/>
      </x:c>
      <x:c r="V7" s="13">
        <x:f t="shared" si="1"/>
      </x:c>
      <x:c r="W7" s="13">
        <x:f t="shared" si="1"/>
      </x:c>
      <x:c r="X7"/>
      <x:c r="Y7"/>
      <x:c r="Z7"/>
      <x:c r="AA7"/>
      <x:c r="AB7"/>
      <x:c r="AC7"/>
      <x:c r="AD7"/>
      <x:c r="AE7"/>
      <x:c r="AF7"/>
      <x:c r="AG7"/>
      <x:c r="AH7"/>
      <x:c r="AI7"/>
      <x:c r="AJ7"/>
      <x:c r="AK7"/>
      <x:c r="AL7"/>
    </x:row>
    <x:row r="8" ht="24" customHeight="1">
      <x:c r="A8" s="33" t="s">
        <x:v>12</x:v>
      </x:c>
      <x:c r="B8" s="34" t="s">
        <x:v>8</x:v>
      </x:c>
      <x:c r="C8" s="33" t="s">
        <x:v>13</x:v>
      </x:c>
      <x:c r="D8" s="90" t="n">
        <x:v>46317</x:v>
      </x:c>
      <x:c r="E8" s="90" t="n">
        <x:v>46323</x:v>
      </x:c>
      <x:c r="F8" s="94" t="n">
        <x:f t="shared" si="0"/>
        <x:v>5</x:v>
      </x:c>
      <x:c r="G8" s="12" t="str">
        <x:v>Planned</x:v>
      </x:c>
      <x:c r="H8" s="13">
        <x:f t="shared" si="1"/>
      </x:c>
      <x:c r="I8" s="18">
        <x:f t="shared" si="1"/>
      </x:c>
      <x:c r="J8" s="13">
        <x:f t="shared" si="1"/>
      </x:c>
      <x:c r="K8" s="13">
        <x:f t="shared" si="1"/>
      </x:c>
      <x:c r="L8" s="13" t="str">
        <x:f t="shared" si="1"/>
        <x:v>■</x:v>
      </x:c>
      <x:c r="M8" s="13" t="str">
        <x:f t="shared" si="1"/>
        <x:v>■</x:v>
      </x:c>
      <x:c r="N8" s="13">
        <x:f t="shared" si="1"/>
      </x:c>
      <x:c r="O8" s="13">
        <x:f t="shared" si="1"/>
      </x:c>
      <x:c r="P8" s="13">
        <x:f t="shared" si="1"/>
      </x:c>
      <x:c r="Q8" s="13">
        <x:f t="shared" si="1"/>
      </x:c>
      <x:c r="R8" s="13">
        <x:f t="shared" si="1"/>
      </x:c>
      <x:c r="S8" s="13">
        <x:f t="shared" si="1"/>
      </x:c>
      <x:c r="T8" s="13">
        <x:f t="shared" si="1"/>
      </x:c>
      <x:c r="U8" s="13">
        <x:f t="shared" si="1"/>
      </x:c>
      <x:c r="V8" s="13">
        <x:f t="shared" si="1"/>
      </x:c>
      <x:c r="W8" s="13">
        <x:f t="shared" si="1"/>
      </x:c>
      <x:c r="X8"/>
      <x:c r="Y8"/>
      <x:c r="Z8"/>
      <x:c r="AA8"/>
      <x:c r="AB8"/>
      <x:c r="AC8"/>
      <x:c r="AD8"/>
      <x:c r="AE8"/>
      <x:c r="AF8"/>
      <x:c r="AG8"/>
      <x:c r="AH8"/>
      <x:c r="AI8"/>
      <x:c r="AJ8"/>
      <x:c r="AK8"/>
      <x:c r="AL8"/>
    </x:row>
    <x:row r="9" ht="24" customHeight="1">
      <x:c r="A9" s="33" t="s">
        <x:v>14</x:v>
      </x:c>
      <x:c r="B9" s="35" t="s">
        <x:v>15</x:v>
      </x:c>
      <x:c r="C9" s="33" t="s">
        <x:v>16</x:v>
      </x:c>
      <x:c r="D9" s="90" t="n">
        <x:v>46317</x:v>
      </x:c>
      <x:c r="E9" s="90" t="n">
        <x:v>46323</x:v>
      </x:c>
      <x:c r="F9" s="94" t="n">
        <x:f t="shared" si="0"/>
        <x:v>5</x:v>
      </x:c>
      <x:c r="G9" s="12" t="str">
        <x:v>Planned</x:v>
      </x:c>
      <x:c r="H9" s="13">
        <x:f t="shared" si="1"/>
      </x:c>
      <x:c r="I9" s="19">
        <x:f t="shared" si="1"/>
      </x:c>
      <x:c r="J9" s="13">
        <x:f t="shared" si="1"/>
      </x:c>
      <x:c r="K9" s="13">
        <x:f t="shared" si="1"/>
      </x:c>
      <x:c r="L9" s="13" t="str">
        <x:f t="shared" si="1"/>
        <x:v>■</x:v>
      </x:c>
      <x:c r="M9" s="13" t="str">
        <x:f t="shared" si="1"/>
        <x:v>■</x:v>
      </x:c>
      <x:c r="N9" s="13">
        <x:f t="shared" si="1"/>
      </x:c>
      <x:c r="O9" s="13">
        <x:f t="shared" si="1"/>
      </x:c>
      <x:c r="P9" s="13">
        <x:f t="shared" si="1"/>
      </x:c>
      <x:c r="Q9" s="13">
        <x:f t="shared" si="1"/>
      </x:c>
      <x:c r="R9" s="13">
        <x:f t="shared" si="1"/>
      </x:c>
      <x:c r="S9" s="13">
        <x:f t="shared" si="1"/>
      </x:c>
      <x:c r="T9" s="13">
        <x:f t="shared" si="1"/>
      </x:c>
      <x:c r="U9" s="13">
        <x:f t="shared" si="1"/>
      </x:c>
      <x:c r="V9" s="13">
        <x:f t="shared" si="1"/>
      </x:c>
      <x:c r="W9" s="13">
        <x:f t="shared" si="1"/>
      </x:c>
      <x:c r="X9"/>
      <x:c r="Y9"/>
      <x:c r="Z9"/>
      <x:c r="AA9"/>
      <x:c r="AB9"/>
      <x:c r="AC9"/>
      <x:c r="AD9"/>
      <x:c r="AE9"/>
      <x:c r="AF9"/>
      <x:c r="AG9"/>
      <x:c r="AH9"/>
      <x:c r="AI9"/>
      <x:c r="AJ9"/>
      <x:c r="AK9"/>
      <x:c r="AL9"/>
    </x:row>
    <x:row r="10" ht="24" customHeight="1">
      <x:c r="A10" s="33" t="s">
        <x:v>17</x:v>
      </x:c>
      <x:c r="B10" s="35" t="s">
        <x:v>15</x:v>
      </x:c>
      <x:c r="C10" s="33" t="s">
        <x:v>18</x:v>
      </x:c>
      <x:c r="D10" s="90" t="n">
        <x:v>46322</x:v>
      </x:c>
      <x:c r="E10" s="90" t="n">
        <x:v>46330</x:v>
      </x:c>
      <x:c r="F10" s="94" t="n">
        <x:f t="shared" si="0"/>
        <x:v>7</x:v>
      </x:c>
      <x:c r="G10" s="12" t="str">
        <x:v>Planned</x:v>
      </x:c>
      <x:c r="H10" s="13">
        <x:f t="shared" si="1"/>
      </x:c>
      <x:c r="I10" s="19">
        <x:f t="shared" si="1"/>
      </x:c>
      <x:c r="J10" s="19">
        <x:f t="shared" si="1"/>
      </x:c>
      <x:c r="K10" s="13">
        <x:f t="shared" si="1"/>
      </x:c>
      <x:c r="L10" s="13">
        <x:f t="shared" si="1"/>
      </x:c>
      <x:c r="M10" s="13" t="str">
        <x:f t="shared" si="1"/>
        <x:v>■</x:v>
      </x:c>
      <x:c r="N10" s="13" t="str">
        <x:f t="shared" si="1"/>
        <x:v>■</x:v>
      </x:c>
      <x:c r="O10" s="13">
        <x:f t="shared" si="1"/>
      </x:c>
      <x:c r="P10" s="13">
        <x:f t="shared" si="1"/>
      </x:c>
      <x:c r="Q10" s="13">
        <x:f t="shared" si="1"/>
      </x:c>
      <x:c r="R10" s="13">
        <x:f t="shared" si="1"/>
      </x:c>
      <x:c r="S10" s="13">
        <x:f t="shared" si="1"/>
      </x:c>
      <x:c r="T10" s="13">
        <x:f t="shared" si="1"/>
      </x:c>
      <x:c r="U10" s="13">
        <x:f t="shared" si="1"/>
      </x:c>
      <x:c r="V10" s="13">
        <x:f t="shared" si="1"/>
      </x:c>
      <x:c r="W10" s="13">
        <x:f t="shared" si="1"/>
      </x:c>
      <x:c r="X10"/>
      <x:c r="Y10"/>
      <x:c r="Z10"/>
      <x:c r="AA10"/>
      <x:c r="AB10"/>
      <x:c r="AC10"/>
      <x:c r="AD10"/>
      <x:c r="AE10"/>
      <x:c r="AF10"/>
      <x:c r="AG10"/>
      <x:c r="AH10"/>
      <x:c r="AI10"/>
      <x:c r="AJ10"/>
      <x:c r="AK10"/>
      <x:c r="AL10"/>
    </x:row>
    <x:row r="11" ht="24" customHeight="1">
      <x:c r="A11" s="33" t="s">
        <x:v>19</x:v>
      </x:c>
      <x:c r="B11" s="35" t="s">
        <x:v>15</x:v>
      </x:c>
      <x:c r="C11" s="33" t="s">
        <x:v>20</x:v>
      </x:c>
      <x:c r="D11" s="90" t="n">
        <x:v>46328</x:v>
      </x:c>
      <x:c r="E11" s="90" t="n">
        <x:v>46335</x:v>
      </x:c>
      <x:c r="F11" s="94" t="n">
        <x:f t="shared" si="0"/>
        <x:v>6</x:v>
      </x:c>
      <x:c r="G11" s="12" t="str">
        <x:v>Planned</x:v>
      </x:c>
      <x:c r="H11" s="13">
        <x:f t="shared" si="1"/>
      </x:c>
      <x:c r="I11" s="13">
        <x:f t="shared" si="1"/>
      </x:c>
      <x:c r="J11" s="19">
        <x:f t="shared" si="1"/>
      </x:c>
      <x:c r="K11" s="13">
        <x:f t="shared" si="1"/>
      </x:c>
      <x:c r="L11" s="13">
        <x:f t="shared" si="1"/>
      </x:c>
      <x:c r="M11" s="13">
        <x:f t="shared" si="1"/>
      </x:c>
      <x:c r="N11" s="13" t="str">
        <x:f t="shared" si="1"/>
        <x:v>■</x:v>
      </x:c>
      <x:c r="O11" s="13" t="str">
        <x:f t="shared" si="1"/>
        <x:v>■</x:v>
      </x:c>
      <x:c r="P11" s="13">
        <x:f t="shared" si="1"/>
      </x:c>
      <x:c r="Q11" s="13">
        <x:f t="shared" si="1"/>
      </x:c>
      <x:c r="R11" s="13">
        <x:f t="shared" si="1"/>
      </x:c>
      <x:c r="S11" s="13">
        <x:f t="shared" si="1"/>
      </x:c>
      <x:c r="T11" s="13">
        <x:f t="shared" si="1"/>
      </x:c>
      <x:c r="U11" s="13">
        <x:f t="shared" si="1"/>
      </x:c>
      <x:c r="V11" s="13">
        <x:f t="shared" si="1"/>
      </x:c>
      <x:c r="W11" s="13">
        <x:f t="shared" si="1"/>
      </x:c>
      <x:c r="X11"/>
      <x:c r="Y11"/>
      <x:c r="Z11"/>
      <x:c r="AA11"/>
      <x:c r="AB11"/>
      <x:c r="AC11"/>
      <x:c r="AD11"/>
      <x:c r="AE11"/>
      <x:c r="AF11"/>
      <x:c r="AG11"/>
      <x:c r="AH11"/>
      <x:c r="AI11"/>
      <x:c r="AJ11"/>
      <x:c r="AK11"/>
      <x:c r="AL11"/>
    </x:row>
    <x:row r="12" ht="24" customHeight="1">
      <x:c r="A12" s="33" t="s">
        <x:v>21</x:v>
      </x:c>
      <x:c r="B12" s="35" t="s">
        <x:v>15</x:v>
      </x:c>
      <x:c r="C12" s="33" t="s">
        <x:v>22</x:v>
      </x:c>
      <x:c r="D12" s="90" t="n">
        <x:v>46328</x:v>
      </x:c>
      <x:c r="E12" s="90" t="n">
        <x:v>46335</x:v>
      </x:c>
      <x:c r="F12" s="94" t="n">
        <x:f t="shared" si="0"/>
        <x:v>6</x:v>
      </x:c>
      <x:c r="G12" s="12" t="str">
        <x:v>Planned</x:v>
      </x:c>
      <x:c r="H12" s="13">
        <x:f t="shared" si="1"/>
      </x:c>
      <x:c r="I12" s="13">
        <x:f t="shared" si="1"/>
      </x:c>
      <x:c r="J12" s="19">
        <x:f t="shared" si="1"/>
      </x:c>
      <x:c r="K12" s="13">
        <x:f t="shared" si="1"/>
      </x:c>
      <x:c r="L12" s="13">
        <x:f t="shared" si="1"/>
      </x:c>
      <x:c r="M12" s="13">
        <x:f t="shared" si="1"/>
      </x:c>
      <x:c r="N12" s="13" t="str">
        <x:f t="shared" si="1"/>
        <x:v>■</x:v>
      </x:c>
      <x:c r="O12" s="13" t="str">
        <x:f t="shared" si="1"/>
        <x:v>■</x:v>
      </x:c>
      <x:c r="P12" s="13">
        <x:f t="shared" si="1"/>
      </x:c>
      <x:c r="Q12" s="13">
        <x:f t="shared" si="1"/>
      </x:c>
      <x:c r="R12" s="13">
        <x:f t="shared" si="1"/>
      </x:c>
      <x:c r="S12" s="13">
        <x:f t="shared" si="1"/>
      </x:c>
      <x:c r="T12" s="13">
        <x:f t="shared" si="1"/>
      </x:c>
      <x:c r="U12" s="13">
        <x:f t="shared" si="1"/>
      </x:c>
      <x:c r="V12" s="13">
        <x:f t="shared" si="1"/>
      </x:c>
      <x:c r="W12" s="13">
        <x:f t="shared" si="1"/>
      </x:c>
      <x:c r="X12"/>
      <x:c r="Y12"/>
      <x:c r="Z12"/>
      <x:c r="AA12"/>
      <x:c r="AB12"/>
      <x:c r="AC12"/>
      <x:c r="AD12"/>
      <x:c r="AE12"/>
      <x:c r="AF12"/>
      <x:c r="AG12"/>
      <x:c r="AH12"/>
      <x:c r="AI12"/>
      <x:c r="AJ12"/>
      <x:c r="AK12"/>
      <x:c r="AL12"/>
    </x:row>
    <x:row r="13" ht="24" customHeight="1">
      <x:c r="A13" s="33" t="s">
        <x:v>23</x:v>
      </x:c>
      <x:c r="B13" s="35" t="s">
        <x:v>15</x:v>
      </x:c>
      <x:c r="C13" s="33" t="s">
        <x:v>24</x:v>
      </x:c>
      <x:c r="D13" s="90" t="n">
        <x:v>46335</x:v>
      </x:c>
      <x:c r="E13" s="90" t="n">
        <x:v>46342</x:v>
      </x:c>
      <x:c r="F13" s="94" t="n">
        <x:f t="shared" si="0"/>
        <x:v>6</x:v>
      </x:c>
      <x:c r="G13" s="12" t="str">
        <x:v>Planned</x:v>
      </x:c>
      <x:c r="H13" s="13">
        <x:f t="shared" si="1"/>
      </x:c>
      <x:c r="I13" s="13">
        <x:f t="shared" si="1"/>
      </x:c>
      <x:c r="J13" s="19">
        <x:f t="shared" si="1"/>
      </x:c>
      <x:c r="K13" s="19">
        <x:f t="shared" si="1"/>
      </x:c>
      <x:c r="L13" s="13">
        <x:f t="shared" si="1"/>
      </x:c>
      <x:c r="M13" s="13">
        <x:f t="shared" si="1"/>
      </x:c>
      <x:c r="N13" s="13">
        <x:f t="shared" si="1"/>
      </x:c>
      <x:c r="O13" s="13" t="str">
        <x:f t="shared" si="1"/>
        <x:v>■</x:v>
      </x:c>
      <x:c r="P13" s="13" t="str">
        <x:f t="shared" si="1"/>
        <x:v>■</x:v>
      </x:c>
      <x:c r="Q13" s="13">
        <x:f t="shared" si="1"/>
      </x:c>
      <x:c r="R13" s="13">
        <x:f t="shared" si="1"/>
      </x:c>
      <x:c r="S13" s="13">
        <x:f t="shared" si="1"/>
      </x:c>
      <x:c r="T13" s="13">
        <x:f t="shared" si="1"/>
      </x:c>
      <x:c r="U13" s="13">
        <x:f t="shared" si="1"/>
      </x:c>
      <x:c r="V13" s="13">
        <x:f t="shared" si="1"/>
      </x:c>
      <x:c r="W13" s="13">
        <x:f t="shared" si="1"/>
      </x:c>
      <x:c r="X13"/>
      <x:c r="Y13"/>
      <x:c r="Z13"/>
      <x:c r="AA13"/>
      <x:c r="AB13"/>
      <x:c r="AC13"/>
      <x:c r="AD13"/>
      <x:c r="AE13"/>
      <x:c r="AF13"/>
      <x:c r="AG13"/>
      <x:c r="AH13"/>
      <x:c r="AI13"/>
      <x:c r="AJ13"/>
      <x:c r="AK13"/>
      <x:c r="AL13"/>
    </x:row>
    <x:row r="14" ht="24" customHeight="1">
      <x:c r="A14" s="33" t="s">
        <x:v>25</x:v>
      </x:c>
      <x:c r="B14" s="35" t="s">
        <x:v>15</x:v>
      </x:c>
      <x:c r="C14" s="33" t="s">
        <x:v>26</x:v>
      </x:c>
      <x:c r="D14" s="90" t="n">
        <x:v>46339</x:v>
      </x:c>
      <x:c r="E14" s="90" t="n">
        <x:v>46343</x:v>
      </x:c>
      <x:c r="F14" s="94" t="n">
        <x:f t="shared" si="0"/>
        <x:v>3</x:v>
      </x:c>
      <x:c r="G14" s="12" t="str">
        <x:v>Planned</x:v>
      </x:c>
      <x:c r="H14" s="13">
        <x:f t="shared" si="1"/>
      </x:c>
      <x:c r="I14" s="13">
        <x:f t="shared" si="1"/>
      </x:c>
      <x:c r="J14" s="13">
        <x:f t="shared" si="1"/>
      </x:c>
      <x:c r="K14" s="19">
        <x:f t="shared" si="1"/>
      </x:c>
      <x:c r="L14" s="13">
        <x:f t="shared" si="1"/>
      </x:c>
      <x:c r="M14" s="13">
        <x:f t="shared" si="1"/>
      </x:c>
      <x:c r="N14" s="13">
        <x:f t="shared" si="1"/>
      </x:c>
      <x:c r="O14" s="13" t="str">
        <x:f t="shared" si="1"/>
        <x:v>■</x:v>
      </x:c>
      <x:c r="P14" s="13" t="str">
        <x:f t="shared" si="1"/>
        <x:v>■</x:v>
      </x:c>
      <x:c r="Q14" s="13">
        <x:f t="shared" si="1"/>
      </x:c>
      <x:c r="R14" s="13">
        <x:f t="shared" si="1"/>
      </x:c>
      <x:c r="S14" s="13">
        <x:f t="shared" si="1"/>
      </x:c>
      <x:c r="T14" s="13">
        <x:f t="shared" si="1"/>
      </x:c>
      <x:c r="U14" s="13">
        <x:f t="shared" si="1"/>
      </x:c>
      <x:c r="V14" s="13">
        <x:f t="shared" si="1"/>
      </x:c>
      <x:c r="W14" s="13">
        <x:f t="shared" si="1"/>
      </x:c>
      <x:c r="X14"/>
      <x:c r="Y14"/>
      <x:c r="Z14"/>
      <x:c r="AA14"/>
      <x:c r="AB14"/>
      <x:c r="AC14"/>
      <x:c r="AD14"/>
      <x:c r="AE14"/>
      <x:c r="AF14"/>
      <x:c r="AG14"/>
      <x:c r="AH14"/>
      <x:c r="AI14"/>
      <x:c r="AJ14"/>
      <x:c r="AK14"/>
      <x:c r="AL14"/>
    </x:row>
    <x:row r="15" ht="24" customHeight="1">
      <x:c r="A15" s="33" t="s">
        <x:v>27</x:v>
      </x:c>
      <x:c r="B15" s="35" t="s">
        <x:v>15</x:v>
      </x:c>
      <x:c r="C15" s="33" t="s">
        <x:v>28</x:v>
      </x:c>
      <x:c r="D15" s="90" t="n">
        <x:v>46345</x:v>
      </x:c>
      <x:c r="E15" s="90" t="n">
        <x:v>46351</x:v>
      </x:c>
      <x:c r="F15" s="94" t="n">
        <x:f t="shared" si="0"/>
        <x:v>5</x:v>
      </x:c>
      <x:c r="G15" s="12" t="str">
        <x:v>Milestone</x:v>
      </x:c>
      <x:c r="H15" s="13">
        <x:f t="shared" ref="H15:W24" si="2">IF(AND(H$5&lt;=$E15,H$5+6&gt;=$D15),"■","")</x:f>
      </x:c>
      <x:c r="I15" s="13">
        <x:f t="shared" si="2"/>
      </x:c>
      <x:c r="J15" s="13">
        <x:f t="shared" si="2"/>
      </x:c>
      <x:c r="K15" s="19">
        <x:f t="shared" si="2"/>
      </x:c>
      <x:c r="L15" s="19">
        <x:f t="shared" si="2"/>
      </x:c>
      <x:c r="M15" s="13">
        <x:f t="shared" si="2"/>
      </x:c>
      <x:c r="N15" s="13">
        <x:f t="shared" si="2"/>
      </x:c>
      <x:c r="O15" s="13">
        <x:f t="shared" si="2"/>
      </x:c>
      <x:c r="P15" s="13" t="str">
        <x:f t="shared" si="2"/>
        <x:v>■</x:v>
      </x:c>
      <x:c r="Q15" s="13" t="str">
        <x:f t="shared" si="2"/>
        <x:v>■</x:v>
      </x:c>
      <x:c r="R15" s="13">
        <x:f t="shared" si="2"/>
      </x:c>
      <x:c r="S15" s="13">
        <x:f t="shared" si="2"/>
      </x:c>
      <x:c r="T15" s="13">
        <x:f t="shared" si="2"/>
      </x:c>
      <x:c r="U15" s="13">
        <x:f t="shared" si="2"/>
      </x:c>
      <x:c r="V15" s="13">
        <x:f t="shared" si="2"/>
      </x:c>
      <x:c r="W15" s="13">
        <x:f t="shared" si="2"/>
      </x:c>
      <x:c r="X15"/>
      <x:c r="Y15"/>
      <x:c r="Z15"/>
      <x:c r="AA15"/>
      <x:c r="AB15"/>
      <x:c r="AC15"/>
      <x:c r="AD15"/>
      <x:c r="AE15"/>
      <x:c r="AF15"/>
      <x:c r="AG15"/>
      <x:c r="AH15"/>
      <x:c r="AI15"/>
      <x:c r="AJ15"/>
      <x:c r="AK15"/>
      <x:c r="AL15"/>
    </x:row>
    <x:row r="16" ht="24" customHeight="1">
      <x:c r="A16" s="33" t="s">
        <x:v>29</x:v>
      </x:c>
      <x:c r="B16" s="36" t="s">
        <x:v>30</x:v>
      </x:c>
      <x:c r="C16" s="33" t="s">
        <x:v>31</x:v>
      </x:c>
      <x:c r="D16" s="90" t="n">
        <x:v>46317</x:v>
      </x:c>
      <x:c r="E16" s="90" t="n">
        <x:v>46323</x:v>
      </x:c>
      <x:c r="F16" s="94" t="n">
        <x:f t="shared" si="0"/>
        <x:v>5</x:v>
      </x:c>
      <x:c r="G16" s="12" t="str">
        <x:v>Planned</x:v>
      </x:c>
      <x:c r="H16" s="13">
        <x:f t="shared" si="2"/>
      </x:c>
      <x:c r="I16" s="20">
        <x:f t="shared" si="2"/>
      </x:c>
      <x:c r="J16" s="13">
        <x:f t="shared" si="2"/>
      </x:c>
      <x:c r="K16" s="13">
        <x:f t="shared" si="2"/>
      </x:c>
      <x:c r="L16" s="13" t="str">
        <x:f t="shared" si="2"/>
        <x:v>■</x:v>
      </x:c>
      <x:c r="M16" s="13" t="str">
        <x:f t="shared" si="2"/>
        <x:v>■</x:v>
      </x:c>
      <x:c r="N16" s="13">
        <x:f t="shared" si="2"/>
      </x:c>
      <x:c r="O16" s="13">
        <x:f t="shared" si="2"/>
      </x:c>
      <x:c r="P16" s="13">
        <x:f t="shared" si="2"/>
      </x:c>
      <x:c r="Q16" s="13">
        <x:f t="shared" si="2"/>
      </x:c>
      <x:c r="R16" s="13">
        <x:f t="shared" si="2"/>
      </x:c>
      <x:c r="S16" s="13">
        <x:f t="shared" si="2"/>
      </x:c>
      <x:c r="T16" s="13">
        <x:f t="shared" si="2"/>
      </x:c>
      <x:c r="U16" s="13">
        <x:f t="shared" si="2"/>
      </x:c>
      <x:c r="V16" s="13">
        <x:f t="shared" si="2"/>
      </x:c>
      <x:c r="W16" s="13">
        <x:f t="shared" si="2"/>
      </x:c>
      <x:c r="X16"/>
      <x:c r="Y16"/>
      <x:c r="Z16"/>
      <x:c r="AA16"/>
      <x:c r="AB16"/>
      <x:c r="AC16"/>
      <x:c r="AD16"/>
      <x:c r="AE16"/>
      <x:c r="AF16"/>
      <x:c r="AG16"/>
      <x:c r="AH16"/>
      <x:c r="AI16"/>
      <x:c r="AJ16"/>
      <x:c r="AK16"/>
      <x:c r="AL16"/>
    </x:row>
    <x:row r="17" ht="24" customHeight="1">
      <x:c r="A17" s="33" t="s">
        <x:v>32</x:v>
      </x:c>
      <x:c r="B17" s="36" t="s">
        <x:v>30</x:v>
      </x:c>
      <x:c r="C17" s="33" t="s">
        <x:v>33</x:v>
      </x:c>
      <x:c r="D17" s="90" t="n">
        <x:v>46322</x:v>
      </x:c>
      <x:c r="E17" s="90" t="n">
        <x:v>46328</x:v>
      </x:c>
      <x:c r="F17" s="94" t="n">
        <x:f t="shared" si="0"/>
        <x:v>5</x:v>
      </x:c>
      <x:c r="G17" s="12" t="str">
        <x:v>Planned</x:v>
      </x:c>
      <x:c r="H17" s="13">
        <x:f t="shared" si="2"/>
      </x:c>
      <x:c r="I17" s="20">
        <x:f t="shared" si="2"/>
      </x:c>
      <x:c r="J17" s="20">
        <x:f t="shared" si="2"/>
      </x:c>
      <x:c r="K17" s="13">
        <x:f t="shared" si="2"/>
      </x:c>
      <x:c r="L17" s="13">
        <x:f t="shared" si="2"/>
      </x:c>
      <x:c r="M17" s="13" t="str">
        <x:f t="shared" si="2"/>
        <x:v>■</x:v>
      </x:c>
      <x:c r="N17" s="13" t="str">
        <x:f t="shared" si="2"/>
        <x:v>■</x:v>
      </x:c>
      <x:c r="O17" s="13">
        <x:f t="shared" si="2"/>
      </x:c>
      <x:c r="P17" s="13">
        <x:f t="shared" si="2"/>
      </x:c>
      <x:c r="Q17" s="13">
        <x:f t="shared" si="2"/>
      </x:c>
      <x:c r="R17" s="13">
        <x:f t="shared" si="2"/>
      </x:c>
      <x:c r="S17" s="13">
        <x:f t="shared" si="2"/>
      </x:c>
      <x:c r="T17" s="13">
        <x:f t="shared" si="2"/>
      </x:c>
      <x:c r="U17" s="13">
        <x:f t="shared" si="2"/>
      </x:c>
      <x:c r="V17" s="13">
        <x:f t="shared" si="2"/>
      </x:c>
      <x:c r="W17" s="13">
        <x:f t="shared" si="2"/>
      </x:c>
      <x:c r="X17"/>
      <x:c r="Y17"/>
      <x:c r="Z17"/>
      <x:c r="AA17"/>
      <x:c r="AB17"/>
      <x:c r="AC17"/>
      <x:c r="AD17"/>
      <x:c r="AE17"/>
      <x:c r="AF17"/>
      <x:c r="AG17"/>
      <x:c r="AH17"/>
      <x:c r="AI17"/>
      <x:c r="AJ17"/>
      <x:c r="AK17"/>
      <x:c r="AL17"/>
    </x:row>
    <x:row r="18" ht="24" customHeight="1">
      <x:c r="A18" s="33" t="s">
        <x:v>34</x:v>
      </x:c>
      <x:c r="B18" s="36" t="s">
        <x:v>30</x:v>
      </x:c>
      <x:c r="C18" s="33" t="s">
        <x:v>35</x:v>
      </x:c>
      <x:c r="D18" s="90" t="n">
        <x:v>46328</x:v>
      </x:c>
      <x:c r="E18" s="90" t="n">
        <x:v>46331</x:v>
      </x:c>
      <x:c r="F18" s="94" t="n">
        <x:f t="shared" si="0"/>
        <x:v>4</x:v>
      </x:c>
      <x:c r="G18" s="12" t="str">
        <x:v>Planned</x:v>
      </x:c>
      <x:c r="H18" s="13">
        <x:f t="shared" si="2"/>
      </x:c>
      <x:c r="I18" s="13">
        <x:f t="shared" si="2"/>
      </x:c>
      <x:c r="J18" s="20">
        <x:f t="shared" si="2"/>
      </x:c>
      <x:c r="K18" s="13">
        <x:f t="shared" si="2"/>
      </x:c>
      <x:c r="L18" s="13">
        <x:f t="shared" si="2"/>
      </x:c>
      <x:c r="M18" s="13">
        <x:f t="shared" si="2"/>
      </x:c>
      <x:c r="N18" s="13" t="str">
        <x:f t="shared" si="2"/>
        <x:v>■</x:v>
      </x:c>
      <x:c r="O18" s="13">
        <x:f t="shared" si="2"/>
      </x:c>
      <x:c r="P18" s="13">
        <x:f t="shared" si="2"/>
      </x:c>
      <x:c r="Q18" s="13">
        <x:f t="shared" si="2"/>
      </x:c>
      <x:c r="R18" s="13">
        <x:f t="shared" si="2"/>
      </x:c>
      <x:c r="S18" s="13">
        <x:f t="shared" si="2"/>
      </x:c>
      <x:c r="T18" s="13">
        <x:f t="shared" si="2"/>
      </x:c>
      <x:c r="U18" s="13">
        <x:f t="shared" si="2"/>
      </x:c>
      <x:c r="V18" s="13">
        <x:f t="shared" si="2"/>
      </x:c>
      <x:c r="W18" s="13">
        <x:f t="shared" si="2"/>
      </x:c>
      <x:c r="X18"/>
      <x:c r="Y18"/>
      <x:c r="Z18"/>
      <x:c r="AA18"/>
      <x:c r="AB18"/>
      <x:c r="AC18"/>
      <x:c r="AD18"/>
      <x:c r="AE18"/>
      <x:c r="AF18"/>
      <x:c r="AG18"/>
      <x:c r="AH18"/>
      <x:c r="AI18"/>
      <x:c r="AJ18"/>
      <x:c r="AK18"/>
      <x:c r="AL18"/>
    </x:row>
    <x:row r="19" ht="24" customHeight="1">
      <x:c r="A19" s="33" t="s">
        <x:v>36</x:v>
      </x:c>
      <x:c r="B19" s="36" t="s">
        <x:v>30</x:v>
      </x:c>
      <x:c r="C19" s="33" t="s">
        <x:v>37</x:v>
      </x:c>
      <x:c r="D19" s="90" t="n">
        <x:v>46330</x:v>
      </x:c>
      <x:c r="E19" s="90" t="n">
        <x:v>46335</x:v>
      </x:c>
      <x:c r="F19" s="94" t="n">
        <x:f t="shared" si="0"/>
        <x:v>4</x:v>
      </x:c>
      <x:c r="G19" s="12" t="str">
        <x:v>Planned</x:v>
      </x:c>
      <x:c r="H19" s="13">
        <x:f t="shared" si="2"/>
      </x:c>
      <x:c r="I19" s="13">
        <x:f t="shared" si="2"/>
      </x:c>
      <x:c r="J19" s="20">
        <x:f t="shared" si="2"/>
      </x:c>
      <x:c r="K19" s="13">
        <x:f t="shared" si="2"/>
      </x:c>
      <x:c r="L19" s="13">
        <x:f t="shared" si="2"/>
      </x:c>
      <x:c r="M19" s="13">
        <x:f t="shared" si="2"/>
      </x:c>
      <x:c r="N19" s="13" t="str">
        <x:f t="shared" si="2"/>
        <x:v>■</x:v>
      </x:c>
      <x:c r="O19" s="13" t="str">
        <x:f t="shared" si="2"/>
        <x:v>■</x:v>
      </x:c>
      <x:c r="P19" s="13">
        <x:f t="shared" si="2"/>
      </x:c>
      <x:c r="Q19" s="13">
        <x:f t="shared" si="2"/>
      </x:c>
      <x:c r="R19" s="13">
        <x:f t="shared" si="2"/>
      </x:c>
      <x:c r="S19" s="13">
        <x:f t="shared" si="2"/>
      </x:c>
      <x:c r="T19" s="13">
        <x:f t="shared" si="2"/>
      </x:c>
      <x:c r="U19" s="13">
        <x:f t="shared" si="2"/>
      </x:c>
      <x:c r="V19" s="13">
        <x:f t="shared" si="2"/>
      </x:c>
      <x:c r="W19" s="13">
        <x:f t="shared" si="2"/>
      </x:c>
      <x:c r="X19"/>
      <x:c r="Y19"/>
      <x:c r="Z19"/>
      <x:c r="AA19"/>
      <x:c r="AB19"/>
      <x:c r="AC19"/>
      <x:c r="AD19"/>
      <x:c r="AE19"/>
      <x:c r="AF19"/>
      <x:c r="AG19"/>
      <x:c r="AH19"/>
      <x:c r="AI19"/>
      <x:c r="AJ19"/>
      <x:c r="AK19"/>
      <x:c r="AL19"/>
    </x:row>
    <x:row r="20" ht="24" customHeight="1">
      <x:c r="A20" s="33" t="s">
        <x:v>38</x:v>
      </x:c>
      <x:c r="B20" s="36" t="s">
        <x:v>30</x:v>
      </x:c>
      <x:c r="C20" s="33" t="s">
        <x:v>39</x:v>
      </x:c>
      <x:c r="D20" s="90" t="n">
        <x:v>46335</x:v>
      </x:c>
      <x:c r="E20" s="90" t="n">
        <x:v>46342</x:v>
      </x:c>
      <x:c r="F20" s="94" t="n">
        <x:f t="shared" si="0"/>
        <x:v>6</x:v>
      </x:c>
      <x:c r="G20" s="12" t="str">
        <x:v>Planned</x:v>
      </x:c>
      <x:c r="H20" s="13">
        <x:f t="shared" si="2"/>
      </x:c>
      <x:c r="I20" s="13">
        <x:f t="shared" si="2"/>
      </x:c>
      <x:c r="J20" s="20">
        <x:f t="shared" si="2"/>
      </x:c>
      <x:c r="K20" s="20">
        <x:f t="shared" si="2"/>
      </x:c>
      <x:c r="L20" s="13">
        <x:f t="shared" si="2"/>
      </x:c>
      <x:c r="M20" s="13">
        <x:f t="shared" si="2"/>
      </x:c>
      <x:c r="N20" s="13">
        <x:f t="shared" si="2"/>
      </x:c>
      <x:c r="O20" s="13" t="str">
        <x:f t="shared" si="2"/>
        <x:v>■</x:v>
      </x:c>
      <x:c r="P20" s="13" t="str">
        <x:f t="shared" si="2"/>
        <x:v>■</x:v>
      </x:c>
      <x:c r="Q20" s="13">
        <x:f t="shared" si="2"/>
      </x:c>
      <x:c r="R20" s="13">
        <x:f t="shared" si="2"/>
      </x:c>
      <x:c r="S20" s="13">
        <x:f t="shared" si="2"/>
      </x:c>
      <x:c r="T20" s="13">
        <x:f t="shared" si="2"/>
      </x:c>
      <x:c r="U20" s="13">
        <x:f t="shared" si="2"/>
      </x:c>
      <x:c r="V20" s="13">
        <x:f t="shared" si="2"/>
      </x:c>
      <x:c r="W20" s="13">
        <x:f t="shared" si="2"/>
      </x:c>
      <x:c r="X20"/>
      <x:c r="Y20"/>
      <x:c r="Z20"/>
      <x:c r="AA20"/>
      <x:c r="AB20"/>
      <x:c r="AC20"/>
      <x:c r="AD20"/>
      <x:c r="AE20"/>
      <x:c r="AF20"/>
      <x:c r="AG20"/>
      <x:c r="AH20"/>
      <x:c r="AI20"/>
      <x:c r="AJ20"/>
      <x:c r="AK20"/>
      <x:c r="AL20"/>
    </x:row>
    <x:row r="21" ht="24" customHeight="1">
      <x:c r="A21" s="33" t="s">
        <x:v>40</x:v>
      </x:c>
      <x:c r="B21" s="36" t="s">
        <x:v>30</x:v>
      </x:c>
      <x:c r="C21" s="33" t="s">
        <x:v>41</x:v>
      </x:c>
      <x:c r="D21" s="90" t="n">
        <x:v>46339</x:v>
      </x:c>
      <x:c r="E21" s="90" t="n">
        <x:v>46345</x:v>
      </x:c>
      <x:c r="F21" s="94" t="n">
        <x:f t="shared" si="0"/>
        <x:v>5</x:v>
      </x:c>
      <x:c r="G21" s="12" t="str">
        <x:v>Planned</x:v>
      </x:c>
      <x:c r="H21" s="13">
        <x:f t="shared" si="2"/>
      </x:c>
      <x:c r="I21" s="13">
        <x:f t="shared" si="2"/>
      </x:c>
      <x:c r="J21" s="13">
        <x:f t="shared" si="2"/>
      </x:c>
      <x:c r="K21" s="20">
        <x:f t="shared" si="2"/>
      </x:c>
      <x:c r="L21" s="13">
        <x:f t="shared" si="2"/>
      </x:c>
      <x:c r="M21" s="13">
        <x:f t="shared" si="2"/>
      </x:c>
      <x:c r="N21" s="13">
        <x:f t="shared" si="2"/>
      </x:c>
      <x:c r="O21" s="13" t="str">
        <x:f t="shared" si="2"/>
        <x:v>■</x:v>
      </x:c>
      <x:c r="P21" s="13" t="str">
        <x:f t="shared" si="2"/>
        <x:v>■</x:v>
      </x:c>
      <x:c r="Q21" s="13">
        <x:f t="shared" si="2"/>
      </x:c>
      <x:c r="R21" s="13">
        <x:f t="shared" si="2"/>
      </x:c>
      <x:c r="S21" s="13">
        <x:f t="shared" si="2"/>
      </x:c>
      <x:c r="T21" s="13">
        <x:f t="shared" si="2"/>
      </x:c>
      <x:c r="U21" s="13">
        <x:f t="shared" si="2"/>
      </x:c>
      <x:c r="V21" s="13">
        <x:f t="shared" si="2"/>
      </x:c>
      <x:c r="W21" s="13">
        <x:f t="shared" si="2"/>
      </x:c>
      <x:c r="X21"/>
      <x:c r="Y21"/>
      <x:c r="Z21"/>
      <x:c r="AA21"/>
      <x:c r="AB21"/>
      <x:c r="AC21"/>
      <x:c r="AD21"/>
      <x:c r="AE21"/>
      <x:c r="AF21"/>
      <x:c r="AG21"/>
      <x:c r="AH21"/>
      <x:c r="AI21"/>
      <x:c r="AJ21"/>
      <x:c r="AK21"/>
      <x:c r="AL21"/>
    </x:row>
    <x:row r="22" ht="24" customHeight="1">
      <x:c r="A22" s="33" t="str">
        <x:v>3.2.3</x:v>
      </x:c>
      <x:c r="B22" s="36" t="str">
        <x:v>Front Page</x:v>
      </x:c>
      <x:c r="C22" s="33" t="str">
        <x:v>Permit expiration reminders</x:v>
      </x:c>
      <x:c r="D22" s="90" t="n">
        <x:v>46405</x:v>
      </x:c>
      <x:c r="E22" s="90" t="n">
        <x:v>46416</x:v>
      </x:c>
      <x:c r="F22" s="94" t="n">
        <x:f t="shared" si="0"/>
        <x:v>10</x:v>
      </x:c>
      <x:c r="G22" s="12" t="str">
        <x:v>Planned</x:v>
      </x:c>
      <x:c r="H22" s="13">
        <x:f t="shared" si="2"/>
      </x:c>
      <x:c r="I22" s="13">
        <x:f t="shared" si="2"/>
      </x:c>
      <x:c r="J22" s="13">
        <x:f t="shared" si="2"/>
      </x:c>
      <x:c r="K22" s="20">
        <x:f t="shared" si="2"/>
      </x:c>
      <x:c r="L22" s="20">
        <x:f t="shared" si="2"/>
      </x:c>
      <x:c r="M22" s="13">
        <x:f t="shared" si="2"/>
      </x:c>
      <x:c r="N22" s="13">
        <x:f t="shared" si="2"/>
      </x:c>
      <x:c r="O22" s="13">
        <x:f t="shared" si="2"/>
      </x:c>
      <x:c r="P22" s="13">
        <x:f t="shared" si="2"/>
      </x:c>
      <x:c r="Q22" s="13">
        <x:f t="shared" si="2"/>
      </x:c>
      <x:c r="R22" s="13">
        <x:f t="shared" si="2"/>
      </x:c>
      <x:c r="S22" s="13">
        <x:f t="shared" si="2"/>
      </x:c>
      <x:c r="T22" s="13">
        <x:f t="shared" si="2"/>
      </x:c>
      <x:c r="U22" s="13">
        <x:f t="shared" si="2"/>
      </x:c>
      <x:c r="V22" s="13">
        <x:f t="shared" si="2"/>
      </x:c>
      <x:c r="W22" s="13">
        <x:f t="shared" si="2"/>
      </x:c>
      <x:c r="X22"/>
      <x:c r="Y22" t="str">
        <x:v>■</x:v>
      </x:c>
      <x:c r="Z22" t="str">
        <x:v>■</x:v>
      </x:c>
      <x:c r="AA22"/>
      <x:c r="AB22"/>
      <x:c r="AC22"/>
      <x:c r="AD22"/>
      <x:c r="AE22"/>
      <x:c r="AF22"/>
      <x:c r="AG22"/>
      <x:c r="AH22"/>
      <x:c r="AI22"/>
      <x:c r="AJ22"/>
      <x:c r="AK22"/>
      <x:c r="AL22"/>
    </x:row>
    <x:row r="23" ht="24" customHeight="1">
      <x:c r="A23" s="33" t="str">
        <x:v>3.3.1</x:v>
      </x:c>
      <x:c r="B23" s="36" t="str">
        <x:v>Front Page</x:v>
      </x:c>
      <x:c r="C23" s="33" t="str">
        <x:v>Registered vehicles display</x:v>
      </x:c>
      <x:c r="D23" s="90" t="n">
        <x:v>46343</x:v>
      </x:c>
      <x:c r="E23" s="90" t="n">
        <x:v>46351</x:v>
      </x:c>
      <x:c r="F23" s="94" t="n">
        <x:f t="shared" si="0"/>
        <x:v>7</x:v>
      </x:c>
      <x:c r="G23" s="12" t="str">
        <x:v>Planned</x:v>
      </x:c>
      <x:c r="H23" s="13">
        <x:f t="shared" si="2"/>
      </x:c>
      <x:c r="I23" s="13">
        <x:f t="shared" si="2"/>
      </x:c>
      <x:c r="J23" s="13">
        <x:f t="shared" si="2"/>
      </x:c>
      <x:c r="K23" s="13">
        <x:f t="shared" si="2"/>
      </x:c>
      <x:c r="L23" s="20">
        <x:f t="shared" si="2"/>
      </x:c>
      <x:c r="M23" s="13">
        <x:f t="shared" si="2"/>
      </x:c>
      <x:c r="N23" s="13">
        <x:f t="shared" si="2"/>
      </x:c>
      <x:c r="O23" s="13">
        <x:f t="shared" si="2"/>
      </x:c>
      <x:c r="P23" s="13" t="str">
        <x:f t="shared" si="2"/>
        <x:v>■</x:v>
      </x:c>
      <x:c r="Q23" s="13" t="str">
        <x:f t="shared" si="2"/>
        <x:v>■</x:v>
      </x:c>
      <x:c r="R23" s="13">
        <x:f t="shared" si="2"/>
      </x:c>
      <x:c r="S23" s="13">
        <x:f t="shared" si="2"/>
      </x:c>
      <x:c r="T23" s="13">
        <x:f t="shared" si="2"/>
      </x:c>
      <x:c r="U23" s="13">
        <x:f t="shared" si="2"/>
      </x:c>
      <x:c r="V23" s="13">
        <x:f t="shared" si="2"/>
      </x:c>
      <x:c r="W23" s="13">
        <x:f t="shared" si="2"/>
      </x:c>
      <x:c r="X23"/>
      <x:c r="Y23"/>
      <x:c r="Z23"/>
      <x:c r="AA23"/>
      <x:c r="AB23"/>
      <x:c r="AC23"/>
      <x:c r="AD23"/>
      <x:c r="AE23"/>
      <x:c r="AF23"/>
      <x:c r="AG23"/>
      <x:c r="AH23"/>
      <x:c r="AI23"/>
      <x:c r="AJ23"/>
      <x:c r="AK23"/>
      <x:c r="AL23"/>
    </x:row>
    <x:row r="24" ht="24" customHeight="1">
      <x:c r="A24" s="33" t="str">
        <x:v>3.3.2</x:v>
      </x:c>
      <x:c r="B24" s="36" t="str">
        <x:v>Front Page</x:v>
      </x:c>
      <x:c r="C24" s="33" t="str">
        <x:v>Citations display</x:v>
      </x:c>
      <x:c r="D24" s="90" t="n">
        <x:v>46350</x:v>
      </x:c>
      <x:c r="E24" s="90" t="n">
        <x:v>46356</x:v>
      </x:c>
      <x:c r="F24" s="94" t="n">
        <x:f t="shared" si="0"/>
        <x:v>5</x:v>
      </x:c>
      <x:c r="G24" s="12" t="str">
        <x:v>Planned</x:v>
      </x:c>
      <x:c r="H24" s="13">
        <x:f t="shared" si="2"/>
      </x:c>
      <x:c r="I24" s="13">
        <x:f t="shared" si="2"/>
      </x:c>
      <x:c r="J24" s="13">
        <x:f t="shared" si="2"/>
      </x:c>
      <x:c r="K24" s="13">
        <x:f t="shared" si="2"/>
      </x:c>
      <x:c r="L24" s="20">
        <x:f t="shared" si="2"/>
      </x:c>
      <x:c r="M24" s="20">
        <x:f t="shared" si="2"/>
      </x:c>
      <x:c r="N24" s="13">
        <x:f t="shared" si="2"/>
      </x:c>
      <x:c r="O24" s="13">
        <x:f t="shared" si="2"/>
      </x:c>
      <x:c r="P24" s="13">
        <x:f t="shared" si="2"/>
      </x:c>
      <x:c r="Q24" s="13" t="str">
        <x:f t="shared" si="2"/>
        <x:v>■</x:v>
      </x:c>
      <x:c r="R24" s="13" t="str">
        <x:f t="shared" si="2"/>
        <x:v>■</x:v>
      </x:c>
      <x:c r="S24" s="13">
        <x:f t="shared" si="2"/>
      </x:c>
      <x:c r="T24" s="13">
        <x:f t="shared" si="2"/>
      </x:c>
      <x:c r="U24" s="13">
        <x:f t="shared" si="2"/>
      </x:c>
      <x:c r="V24" s="13">
        <x:f t="shared" si="2"/>
      </x:c>
      <x:c r="W24" s="13">
        <x:f t="shared" si="2"/>
      </x:c>
      <x:c r="X24"/>
      <x:c r="Y24"/>
      <x:c r="Z24"/>
      <x:c r="AA24"/>
      <x:c r="AB24"/>
      <x:c r="AC24"/>
      <x:c r="AD24"/>
      <x:c r="AE24"/>
      <x:c r="AF24"/>
      <x:c r="AG24"/>
      <x:c r="AH24"/>
      <x:c r="AI24"/>
      <x:c r="AJ24"/>
      <x:c r="AK24"/>
      <x:c r="AL24"/>
    </x:row>
    <x:row r="25" ht="24" customHeight="1">
      <x:c r="A25" s="33" t="str">
        <x:v>3.3.3</x:v>
      </x:c>
      <x:c r="B25" s="36" t="str">
        <x:v>Front Page</x:v>
      </x:c>
      <x:c r="C25" s="33" t="str">
        <x:v>Permits display</x:v>
      </x:c>
      <x:c r="D25" s="90" t="n">
        <x:v>46353</x:v>
      </x:c>
      <x:c r="E25" s="90" t="n">
        <x:v>46363</x:v>
      </x:c>
      <x:c r="F25" s="94" t="n">
        <x:f t="shared" si="0"/>
        <x:v>7</x:v>
      </x:c>
      <x:c r="G25" s="12" t="str">
        <x:v>Planned</x:v>
      </x:c>
      <x:c r="H25" s="13">
        <x:f t="shared" ref="H25:W34" si="3">IF(AND(H$5&lt;=$E25,H$5+6&gt;=$D25),"■","")</x:f>
      </x:c>
      <x:c r="I25" s="13">
        <x:f t="shared" si="3"/>
      </x:c>
      <x:c r="J25" s="13">
        <x:f t="shared" si="3"/>
      </x:c>
      <x:c r="K25" s="13">
        <x:f t="shared" si="3"/>
      </x:c>
      <x:c r="L25" s="13">
        <x:f t="shared" si="3"/>
      </x:c>
      <x:c r="M25" s="20">
        <x:f t="shared" si="3"/>
      </x:c>
      <x:c r="N25" s="13">
        <x:f t="shared" si="3"/>
      </x:c>
      <x:c r="O25" s="13">
        <x:f t="shared" si="3"/>
      </x:c>
      <x:c r="P25" s="13">
        <x:f t="shared" si="3"/>
      </x:c>
      <x:c r="Q25" s="13" t="str">
        <x:f t="shared" si="3"/>
        <x:v>■</x:v>
      </x:c>
      <x:c r="R25" s="13" t="str">
        <x:f t="shared" si="3"/>
        <x:v>■</x:v>
      </x:c>
      <x:c r="S25" s="13" t="str">
        <x:f t="shared" si="3"/>
        <x:v>■</x:v>
      </x:c>
      <x:c r="T25" s="13">
        <x:f t="shared" si="3"/>
      </x:c>
      <x:c r="U25" s="13">
        <x:f t="shared" si="3"/>
      </x:c>
      <x:c r="V25" s="13">
        <x:f t="shared" si="3"/>
      </x:c>
      <x:c r="W25" s="13">
        <x:f t="shared" si="3"/>
      </x:c>
      <x:c r="X25"/>
      <x:c r="Y25"/>
      <x:c r="Z25"/>
      <x:c r="AA25"/>
      <x:c r="AB25"/>
      <x:c r="AC25"/>
      <x:c r="AD25"/>
      <x:c r="AE25"/>
      <x:c r="AF25"/>
      <x:c r="AG25"/>
      <x:c r="AH25"/>
      <x:c r="AI25"/>
      <x:c r="AJ25"/>
      <x:c r="AK25"/>
      <x:c r="AL25"/>
    </x:row>
    <x:row r="26" ht="24" customHeight="1">
      <x:c r="A26" s="33" t="str">
        <x:v>3.3.4</x:v>
      </x:c>
      <x:c r="B26" s="36" t="str">
        <x:v>Front Page</x:v>
      </x:c>
      <x:c r="C26" s="33" t="str">
        <x:v>Boots and tows display</x:v>
      </x:c>
      <x:c r="D26" s="90" t="n">
        <x:v>46360</x:v>
      </x:c>
      <x:c r="E26" s="90" t="n">
        <x:v>46367</x:v>
      </x:c>
      <x:c r="F26" s="94" t="n">
        <x:f t="shared" si="0"/>
        <x:v>6</x:v>
      </x:c>
      <x:c r="G26" s="12" t="str">
        <x:v>Planned</x:v>
      </x:c>
      <x:c r="H26" s="13">
        <x:f t="shared" si="3"/>
      </x:c>
      <x:c r="I26" s="13">
        <x:f t="shared" si="3"/>
      </x:c>
      <x:c r="J26" s="13">
        <x:f t="shared" si="3"/>
      </x:c>
      <x:c r="K26" s="13">
        <x:f t="shared" si="3"/>
      </x:c>
      <x:c r="L26" s="13">
        <x:f t="shared" si="3"/>
      </x:c>
      <x:c r="M26" s="13">
        <x:f t="shared" si="3"/>
      </x:c>
      <x:c r="N26" s="20">
        <x:f t="shared" si="3"/>
      </x:c>
      <x:c r="O26" s="13">
        <x:f t="shared" si="3"/>
      </x:c>
      <x:c r="P26" s="13">
        <x:f t="shared" si="3"/>
      </x:c>
      <x:c r="Q26" s="13">
        <x:f t="shared" si="3"/>
      </x:c>
      <x:c r="R26" s="13" t="str">
        <x:f t="shared" si="3"/>
        <x:v>■</x:v>
      </x:c>
      <x:c r="S26" s="13" t="str">
        <x:f t="shared" si="3"/>
        <x:v>■</x:v>
      </x:c>
      <x:c r="T26" s="13">
        <x:f t="shared" si="3"/>
      </x:c>
      <x:c r="U26" s="13">
        <x:f t="shared" si="3"/>
      </x:c>
      <x:c r="V26" s="13">
        <x:f t="shared" si="3"/>
      </x:c>
      <x:c r="W26" s="13">
        <x:f t="shared" si="3"/>
      </x:c>
      <x:c r="X26"/>
      <x:c r="Y26"/>
      <x:c r="Z26"/>
      <x:c r="AA26"/>
      <x:c r="AB26"/>
      <x:c r="AC26"/>
      <x:c r="AD26"/>
      <x:c r="AE26"/>
      <x:c r="AF26"/>
      <x:c r="AG26"/>
      <x:c r="AH26"/>
      <x:c r="AI26"/>
      <x:c r="AJ26"/>
      <x:c r="AK26"/>
      <x:c r="AL26"/>
    </x:row>
    <x:row r="27" ht="24" customHeight="1">
      <x:c r="A27" s="33" t="str">
        <x:v>3.M</x:v>
      </x:c>
      <x:c r="B27" s="37" t="str">
        <x:v>Front Page</x:v>
      </x:c>
      <x:c r="C27" s="33" t="str">
        <x:v>Responsive front-page review</x:v>
      </x:c>
      <x:c r="D27" s="90" t="n">
        <x:v>46371</x:v>
      </x:c>
      <x:c r="E27" s="90" t="n">
        <x:v>46374</x:v>
      </x:c>
      <x:c r="F27" s="94" t="n">
        <x:f t="shared" si="0"/>
        <x:v>4</x:v>
      </x:c>
      <x:c r="G27" s="12" t="str">
        <x:v>Milestone</x:v>
      </x:c>
      <x:c r="H27" s="13">
        <x:f t="shared" si="3"/>
      </x:c>
      <x:c r="I27" s="13">
        <x:f t="shared" si="3"/>
      </x:c>
      <x:c r="J27" s="21">
        <x:f t="shared" si="3"/>
      </x:c>
      <x:c r="K27" s="13">
        <x:f t="shared" si="3"/>
      </x:c>
      <x:c r="L27" s="13">
        <x:f t="shared" si="3"/>
      </x:c>
      <x:c r="M27" s="13">
        <x:f t="shared" si="3"/>
      </x:c>
      <x:c r="N27" s="13">
        <x:f t="shared" si="3"/>
      </x:c>
      <x:c r="O27" s="13">
        <x:f t="shared" si="3"/>
      </x:c>
      <x:c r="P27" s="13">
        <x:f t="shared" si="3"/>
      </x:c>
      <x:c r="Q27" s="13">
        <x:f t="shared" si="3"/>
      </x:c>
      <x:c r="R27" s="13">
        <x:f t="shared" si="3"/>
      </x:c>
      <x:c r="S27" s="13">
        <x:f t="shared" si="3"/>
      </x:c>
      <x:c r="T27" s="13" t="str">
        <x:f t="shared" si="3"/>
        <x:v>■</x:v>
      </x:c>
      <x:c r="U27" s="13">
        <x:f t="shared" si="3"/>
      </x:c>
      <x:c r="V27" s="13">
        <x:f t="shared" si="3"/>
      </x:c>
      <x:c r="W27" s="13">
        <x:f t="shared" si="3"/>
      </x:c>
      <x:c r="X27"/>
      <x:c r="Y27"/>
      <x:c r="Z27"/>
      <x:c r="AA27"/>
      <x:c r="AB27"/>
      <x:c r="AC27"/>
      <x:c r="AD27"/>
      <x:c r="AE27"/>
      <x:c r="AF27"/>
      <x:c r="AG27"/>
      <x:c r="AH27"/>
      <x:c r="AI27"/>
      <x:c r="AJ27"/>
      <x:c r="AK27"/>
      <x:c r="AL27"/>
    </x:row>
    <x:row r="28" ht="24" customHeight="1">
      <x:c r="A28" s="33" t="str">
        <x:v>4.1.1</x:v>
      </x:c>
      <x:c r="B28" s="37" t="str">
        <x:v>About Page</x:v>
      </x:c>
      <x:c r="C28" s="33" t="str">
        <x:v>Company overview</x:v>
      </x:c>
      <x:c r="D28" s="90" t="n">
        <x:v>46328</x:v>
      </x:c>
      <x:c r="E28" s="90" t="n">
        <x:v>46331</x:v>
      </x:c>
      <x:c r="F28" s="94" t="n">
        <x:f t="shared" si="0"/>
        <x:v>4</x:v>
      </x:c>
      <x:c r="G28" s="12" t="str">
        <x:v>Planned</x:v>
      </x:c>
      <x:c r="H28" s="13">
        <x:f t="shared" si="3"/>
      </x:c>
      <x:c r="I28" s="13">
        <x:f t="shared" si="3"/>
      </x:c>
      <x:c r="J28" s="21">
        <x:f t="shared" si="3"/>
      </x:c>
      <x:c r="K28" s="13">
        <x:f t="shared" si="3"/>
      </x:c>
      <x:c r="L28" s="13">
        <x:f t="shared" si="3"/>
      </x:c>
      <x:c r="M28" s="13">
        <x:f t="shared" si="3"/>
      </x:c>
      <x:c r="N28" s="13" t="str">
        <x:f t="shared" si="3"/>
        <x:v>■</x:v>
      </x:c>
      <x:c r="O28" s="13">
        <x:f t="shared" si="3"/>
      </x:c>
      <x:c r="P28" s="13">
        <x:f t="shared" si="3"/>
      </x:c>
      <x:c r="Q28" s="13">
        <x:f t="shared" si="3"/>
      </x:c>
      <x:c r="R28" s="13">
        <x:f t="shared" si="3"/>
      </x:c>
      <x:c r="S28" s="13">
        <x:f t="shared" si="3"/>
      </x:c>
      <x:c r="T28" s="13">
        <x:f t="shared" si="3"/>
      </x:c>
      <x:c r="U28" s="13">
        <x:f t="shared" si="3"/>
      </x:c>
      <x:c r="V28" s="13">
        <x:f t="shared" si="3"/>
      </x:c>
      <x:c r="W28" s="13">
        <x:f t="shared" si="3"/>
      </x:c>
      <x:c r="X28"/>
      <x:c r="Y28"/>
      <x:c r="Z28"/>
      <x:c r="AA28"/>
      <x:c r="AB28"/>
      <x:c r="AC28"/>
      <x:c r="AD28"/>
      <x:c r="AE28"/>
      <x:c r="AF28"/>
      <x:c r="AG28"/>
      <x:c r="AH28"/>
      <x:c r="AI28"/>
      <x:c r="AJ28"/>
      <x:c r="AK28"/>
      <x:c r="AL28"/>
    </x:row>
    <x:row r="29" ht="24" customHeight="1">
      <x:c r="A29" s="33" t="str">
        <x:v>4.1.2</x:v>
      </x:c>
      <x:c r="B29" s="37" t="str">
        <x:v>About Page</x:v>
      </x:c>
      <x:c r="C29" s="33" t="str">
        <x:v>Company services</x:v>
      </x:c>
      <x:c r="D29" s="90" t="n">
        <x:v>46331</x:v>
      </x:c>
      <x:c r="E29" s="90" t="n">
        <x:v>46335</x:v>
      </x:c>
      <x:c r="F29" s="94" t="n">
        <x:f t="shared" si="0"/>
        <x:v>3</x:v>
      </x:c>
      <x:c r="G29" s="12" t="str">
        <x:v>Planned</x:v>
      </x:c>
      <x:c r="H29" s="13">
        <x:f t="shared" si="3"/>
      </x:c>
      <x:c r="I29" s="13">
        <x:f t="shared" si="3"/>
      </x:c>
      <x:c r="J29" s="13">
        <x:f t="shared" si="3"/>
      </x:c>
      <x:c r="K29" s="21">
        <x:f t="shared" si="3"/>
      </x:c>
      <x:c r="L29" s="13">
        <x:f t="shared" si="3"/>
      </x:c>
      <x:c r="M29" s="13">
        <x:f t="shared" si="3"/>
      </x:c>
      <x:c r="N29" s="13" t="str">
        <x:f t="shared" si="3"/>
        <x:v>■</x:v>
      </x:c>
      <x:c r="O29" s="13" t="str">
        <x:f t="shared" si="3"/>
        <x:v>■</x:v>
      </x:c>
      <x:c r="P29" s="13">
        <x:f t="shared" si="3"/>
      </x:c>
      <x:c r="Q29" s="13">
        <x:f t="shared" si="3"/>
      </x:c>
      <x:c r="R29" s="13">
        <x:f t="shared" si="3"/>
      </x:c>
      <x:c r="S29" s="13">
        <x:f t="shared" si="3"/>
      </x:c>
      <x:c r="T29" s="13">
        <x:f t="shared" si="3"/>
      </x:c>
      <x:c r="U29" s="13">
        <x:f t="shared" si="3"/>
      </x:c>
      <x:c r="V29" s="13">
        <x:f t="shared" si="3"/>
      </x:c>
      <x:c r="W29" s="13">
        <x:f t="shared" si="3"/>
      </x:c>
      <x:c r="X29"/>
      <x:c r="Y29"/>
      <x:c r="Z29"/>
      <x:c r="AA29"/>
      <x:c r="AB29"/>
      <x:c r="AC29"/>
      <x:c r="AD29"/>
      <x:c r="AE29"/>
      <x:c r="AF29"/>
      <x:c r="AG29"/>
      <x:c r="AH29"/>
      <x:c r="AI29"/>
      <x:c r="AJ29"/>
      <x:c r="AK29"/>
      <x:c r="AL29"/>
    </x:row>
    <x:row r="30" ht="24" customHeight="1">
      <x:c r="A30" s="33" t="str">
        <x:v>4.2.1</x:v>
      </x:c>
      <x:c r="B30" s="37" t="str">
        <x:v>About Page</x:v>
      </x:c>
      <x:c r="C30" s="33" t="str">
        <x:v>Phone number</x:v>
      </x:c>
      <x:c r="D30" s="90" t="n">
        <x:v>46339</x:v>
      </x:c>
      <x:c r="E30" s="90" t="n">
        <x:v>46339</x:v>
      </x:c>
      <x:c r="F30" s="94" t="n">
        <x:f t="shared" si="0"/>
        <x:v>1</x:v>
      </x:c>
      <x:c r="G30" s="12" t="str">
        <x:v>Planned</x:v>
      </x:c>
      <x:c r="H30" s="13">
        <x:f t="shared" si="3"/>
      </x:c>
      <x:c r="I30" s="13">
        <x:f t="shared" si="3"/>
      </x:c>
      <x:c r="J30" s="13">
        <x:f t="shared" si="3"/>
      </x:c>
      <x:c r="K30" s="21">
        <x:f t="shared" si="3"/>
      </x:c>
      <x:c r="L30" s="13">
        <x:f t="shared" si="3"/>
      </x:c>
      <x:c r="M30" s="13">
        <x:f t="shared" si="3"/>
      </x:c>
      <x:c r="N30" s="13">
        <x:f t="shared" si="3"/>
      </x:c>
      <x:c r="O30" s="13" t="str">
        <x:f t="shared" si="3"/>
        <x:v>■</x:v>
      </x:c>
      <x:c r="P30" s="13">
        <x:f t="shared" si="3"/>
      </x:c>
      <x:c r="Q30" s="13">
        <x:f t="shared" si="3"/>
      </x:c>
      <x:c r="R30" s="13">
        <x:f t="shared" si="3"/>
      </x:c>
      <x:c r="S30" s="13">
        <x:f t="shared" si="3"/>
      </x:c>
      <x:c r="T30" s="13">
        <x:f t="shared" si="3"/>
      </x:c>
      <x:c r="U30" s="13">
        <x:f t="shared" si="3"/>
      </x:c>
      <x:c r="V30" s="13">
        <x:f t="shared" si="3"/>
      </x:c>
      <x:c r="W30" s="13">
        <x:f t="shared" si="3"/>
      </x:c>
      <x:c r="X30"/>
      <x:c r="Y30"/>
      <x:c r="Z30"/>
      <x:c r="AA30"/>
      <x:c r="AB30"/>
      <x:c r="AC30"/>
      <x:c r="AD30"/>
      <x:c r="AE30"/>
      <x:c r="AF30"/>
      <x:c r="AG30"/>
      <x:c r="AH30"/>
      <x:c r="AI30"/>
      <x:c r="AJ30"/>
      <x:c r="AK30"/>
      <x:c r="AL30"/>
    </x:row>
    <x:row r="31" ht="24" customHeight="1">
      <x:c r="A31" s="33" t="str">
        <x:v>4.2.2</x:v>
      </x:c>
      <x:c r="B31" s="37" t="str">
        <x:v>About Page</x:v>
      </x:c>
      <x:c r="C31" s="33" t="str">
        <x:v>Email address</x:v>
      </x:c>
      <x:c r="D31" s="90" t="n">
        <x:v>46339</x:v>
      </x:c>
      <x:c r="E31" s="90" t="n">
        <x:v>46342</x:v>
      </x:c>
      <x:c r="F31" s="94" t="n">
        <x:f t="shared" si="0"/>
        <x:v>2</x:v>
      </x:c>
      <x:c r="G31" s="12" t="str">
        <x:v>Planned</x:v>
      </x:c>
      <x:c r="H31" s="13">
        <x:f t="shared" si="3"/>
      </x:c>
      <x:c r="I31" s="13">
        <x:f t="shared" si="3"/>
      </x:c>
      <x:c r="J31" s="13">
        <x:f t="shared" si="3"/>
      </x:c>
      <x:c r="K31" s="21">
        <x:f t="shared" si="3"/>
      </x:c>
      <x:c r="L31" s="13">
        <x:f t="shared" si="3"/>
      </x:c>
      <x:c r="M31" s="13">
        <x:f t="shared" si="3"/>
      </x:c>
      <x:c r="N31" s="13">
        <x:f t="shared" si="3"/>
      </x:c>
      <x:c r="O31" s="13" t="str">
        <x:f t="shared" si="3"/>
        <x:v>■</x:v>
      </x:c>
      <x:c r="P31" s="13" t="str">
        <x:f t="shared" si="3"/>
        <x:v>■</x:v>
      </x:c>
      <x:c r="Q31" s="13">
        <x:f t="shared" si="3"/>
      </x:c>
      <x:c r="R31" s="13">
        <x:f t="shared" si="3"/>
      </x:c>
      <x:c r="S31" s="13">
        <x:f t="shared" si="3"/>
      </x:c>
      <x:c r="T31" s="13">
        <x:f t="shared" si="3"/>
      </x:c>
      <x:c r="U31" s="13">
        <x:f t="shared" si="3"/>
      </x:c>
      <x:c r="V31" s="13">
        <x:f t="shared" si="3"/>
      </x:c>
      <x:c r="W31" s="13">
        <x:f t="shared" si="3"/>
      </x:c>
      <x:c r="X31"/>
      <x:c r="Y31"/>
      <x:c r="Z31"/>
      <x:c r="AA31"/>
      <x:c r="AB31"/>
      <x:c r="AC31"/>
      <x:c r="AD31"/>
      <x:c r="AE31"/>
      <x:c r="AF31"/>
      <x:c r="AG31"/>
      <x:c r="AH31"/>
      <x:c r="AI31"/>
      <x:c r="AJ31"/>
      <x:c r="AK31"/>
      <x:c r="AL31"/>
    </x:row>
    <x:row r="32" ht="24" customHeight="1">
      <x:c r="A32" s="33" t="str">
        <x:v>4.2.3</x:v>
      </x:c>
      <x:c r="B32" s="37" t="str">
        <x:v>About Page</x:v>
      </x:c>
      <x:c r="C32" s="33" t="str">
        <x:v>Office location</x:v>
      </x:c>
      <x:c r="D32" s="90" t="n">
        <x:v>46342</x:v>
      </x:c>
      <x:c r="E32" s="90" t="n">
        <x:v>46343</x:v>
      </x:c>
      <x:c r="F32" s="94" t="n">
        <x:f t="shared" si="0"/>
        <x:v>2</x:v>
      </x:c>
      <x:c r="G32" s="12" t="str">
        <x:v>Planned</x:v>
      </x:c>
      <x:c r="H32" s="13">
        <x:f t="shared" si="3"/>
      </x:c>
      <x:c r="I32" s="13">
        <x:f t="shared" si="3"/>
      </x:c>
      <x:c r="J32" s="13">
        <x:f t="shared" si="3"/>
      </x:c>
      <x:c r="K32" s="21">
        <x:f t="shared" si="3"/>
      </x:c>
      <x:c r="L32" s="21">
        <x:f t="shared" si="3"/>
      </x:c>
      <x:c r="M32" s="13">
        <x:f t="shared" si="3"/>
      </x:c>
      <x:c r="N32" s="13">
        <x:f t="shared" si="3"/>
      </x:c>
      <x:c r="O32" s="13">
        <x:f t="shared" si="3"/>
      </x:c>
      <x:c r="P32" s="13" t="str">
        <x:f t="shared" si="3"/>
        <x:v>■</x:v>
      </x:c>
      <x:c r="Q32" s="13">
        <x:f t="shared" si="3"/>
      </x:c>
      <x:c r="R32" s="13">
        <x:f t="shared" si="3"/>
      </x:c>
      <x:c r="S32" s="13">
        <x:f t="shared" si="3"/>
      </x:c>
      <x:c r="T32" s="13">
        <x:f t="shared" si="3"/>
      </x:c>
      <x:c r="U32" s="13">
        <x:f t="shared" si="3"/>
      </x:c>
      <x:c r="V32" s="13">
        <x:f t="shared" si="3"/>
      </x:c>
      <x:c r="W32" s="13">
        <x:f t="shared" si="3"/>
      </x:c>
      <x:c r="X32"/>
      <x:c r="Y32"/>
      <x:c r="Z32"/>
      <x:c r="AA32"/>
      <x:c r="AB32"/>
      <x:c r="AC32"/>
      <x:c r="AD32"/>
      <x:c r="AE32"/>
      <x:c r="AF32"/>
      <x:c r="AG32"/>
      <x:c r="AH32"/>
      <x:c r="AI32"/>
      <x:c r="AJ32"/>
      <x:c r="AK32"/>
      <x:c r="AL32"/>
    </x:row>
    <x:row r="33" ht="24" customHeight="1">
      <x:c r="A33" s="33" t="str">
        <x:v>4.M</x:v>
      </x:c>
      <x:c r="B33" s="38" t="str">
        <x:v>About Page</x:v>
      </x:c>
      <x:c r="C33" s="33" t="str">
        <x:v> review</x:v>
      </x:c>
      <x:c r="D33" s="90" t="n">
        <x:v>46345</x:v>
      </x:c>
      <x:c r="E33" s="90" t="n">
        <x:v>46350</x:v>
      </x:c>
      <x:c r="F33" s="94" t="n">
        <x:f t="shared" si="0"/>
        <x:v>4</x:v>
      </x:c>
      <x:c r="G33" s="12" t="str">
        <x:v>Milestone</x:v>
      </x:c>
      <x:c r="H33" s="13">
        <x:f t="shared" si="3"/>
      </x:c>
      <x:c r="I33" s="13">
        <x:f t="shared" si="3"/>
      </x:c>
      <x:c r="J33" s="13">
        <x:f t="shared" si="3"/>
      </x:c>
      <x:c r="K33" s="13">
        <x:f t="shared" si="3"/>
      </x:c>
      <x:c r="L33" s="22">
        <x:f t="shared" si="3"/>
      </x:c>
      <x:c r="M33" s="13">
        <x:f t="shared" si="3"/>
      </x:c>
      <x:c r="N33" s="13">
        <x:f t="shared" si="3"/>
      </x:c>
      <x:c r="O33" s="13">
        <x:f t="shared" si="3"/>
      </x:c>
      <x:c r="P33" s="13" t="str">
        <x:f t="shared" si="3"/>
        <x:v>■</x:v>
      </x:c>
      <x:c r="Q33" s="13" t="str">
        <x:f t="shared" si="3"/>
        <x:v>■</x:v>
      </x:c>
      <x:c r="R33" s="13">
        <x:f t="shared" si="3"/>
      </x:c>
      <x:c r="S33" s="13">
        <x:f t="shared" si="3"/>
      </x:c>
      <x:c r="T33" s="13">
        <x:f t="shared" si="3"/>
      </x:c>
      <x:c r="U33" s="13">
        <x:f t="shared" si="3"/>
      </x:c>
      <x:c r="V33" s="13">
        <x:f t="shared" si="3"/>
      </x:c>
      <x:c r="W33" s="13">
        <x:f t="shared" si="3"/>
      </x:c>
      <x:c r="X33"/>
      <x:c r="Y33"/>
      <x:c r="Z33"/>
      <x:c r="AA33"/>
      <x:c r="AB33"/>
      <x:c r="AC33"/>
      <x:c r="AD33"/>
      <x:c r="AE33"/>
      <x:c r="AF33"/>
      <x:c r="AG33"/>
      <x:c r="AH33"/>
      <x:c r="AI33"/>
      <x:c r="AJ33"/>
      <x:c r="AK33"/>
      <x:c r="AL33"/>
    </x:row>
    <x:row r="34" ht="24" customHeight="1">
      <x:c r="A34" s="33" t="str">
        <x:v>5.1.1</x:v>
      </x:c>
      <x:c r="B34" s="38" t="str">
        <x:v>Garage / Parking</x:v>
      </x:c>
      <x:c r="C34" s="33" t="str">
        <x:v>Vehicles on account</x:v>
      </x:c>
      <x:c r="D34" s="90" t="n">
        <x:v>46350</x:v>
      </x:c>
      <x:c r="E34" s="90" t="n">
        <x:v>46356</x:v>
      </x:c>
      <x:c r="F34" s="94" t="n">
        <x:f t="shared" si="0"/>
        <x:v>5</x:v>
      </x:c>
      <x:c r="G34" s="12" t="str">
        <x:v>Planned</x:v>
      </x:c>
      <x:c r="H34" s="13">
        <x:f t="shared" si="3"/>
      </x:c>
      <x:c r="I34" s="13">
        <x:f t="shared" si="3"/>
      </x:c>
      <x:c r="J34" s="13">
        <x:f t="shared" si="3"/>
      </x:c>
      <x:c r="K34" s="13">
        <x:f t="shared" si="3"/>
      </x:c>
      <x:c r="L34" s="22">
        <x:f t="shared" si="3"/>
      </x:c>
      <x:c r="M34" s="22">
        <x:f t="shared" si="3"/>
      </x:c>
      <x:c r="N34" s="13">
        <x:f t="shared" si="3"/>
      </x:c>
      <x:c r="O34" s="13">
        <x:f t="shared" si="3"/>
      </x:c>
      <x:c r="P34" s="13">
        <x:f t="shared" si="3"/>
      </x:c>
      <x:c r="Q34" s="13" t="str">
        <x:f t="shared" si="3"/>
        <x:v>■</x:v>
      </x:c>
      <x:c r="R34" s="13" t="str">
        <x:f t="shared" si="3"/>
        <x:v>■</x:v>
      </x:c>
      <x:c r="S34" s="13">
        <x:f t="shared" si="3"/>
      </x:c>
      <x:c r="T34" s="13">
        <x:f t="shared" si="3"/>
      </x:c>
      <x:c r="U34" s="13">
        <x:f t="shared" si="3"/>
      </x:c>
      <x:c r="V34" s="13">
        <x:f t="shared" si="3"/>
      </x:c>
      <x:c r="W34" s="13">
        <x:f t="shared" si="3"/>
      </x:c>
      <x:c r="X34"/>
      <x:c r="Y34"/>
      <x:c r="Z34"/>
      <x:c r="AA34"/>
      <x:c r="AB34"/>
      <x:c r="AC34"/>
      <x:c r="AD34"/>
      <x:c r="AE34"/>
      <x:c r="AF34"/>
      <x:c r="AG34"/>
      <x:c r="AH34"/>
      <x:c r="AI34"/>
      <x:c r="AJ34"/>
      <x:c r="AK34"/>
      <x:c r="AL34"/>
    </x:row>
    <x:row r="35" ht="24" customHeight="1">
      <x:c r="A35" s="33" t="str">
        <x:v>5.1.2</x:v>
      </x:c>
      <x:c r="B35" s="38" t="str">
        <x:v>Garage / Parking</x:v>
      </x:c>
      <x:c r="C35" s="33" t="str">
        <x:v>Add vehicle to permit</x:v>
      </x:c>
      <x:c r="D35" s="90" t="n">
        <x:v>46356</x:v>
      </x:c>
      <x:c r="E35" s="90" t="n">
        <x:v>46365</x:v>
      </x:c>
      <x:c r="F35" s="94" t="n">
        <x:f t="shared" si="0"/>
        <x:v>8</x:v>
      </x:c>
      <x:c r="G35" s="12" t="str">
        <x:v>Planned</x:v>
      </x:c>
      <x:c r="H35" s="13">
        <x:f t="shared" ref="H35:W44" si="4">IF(AND(H$5&lt;=$E35,H$5+6&gt;=$D35),"■","")</x:f>
      </x:c>
      <x:c r="I35" s="13">
        <x:f t="shared" si="4"/>
      </x:c>
      <x:c r="J35" s="13">
        <x:f t="shared" si="4"/>
      </x:c>
      <x:c r="K35" s="13">
        <x:f t="shared" si="4"/>
      </x:c>
      <x:c r="L35" s="13">
        <x:f t="shared" si="4"/>
      </x:c>
      <x:c r="M35" s="22">
        <x:f t="shared" si="4"/>
      </x:c>
      <x:c r="N35" s="22">
        <x:f t="shared" si="4"/>
      </x:c>
      <x:c r="O35" s="13">
        <x:f t="shared" si="4"/>
      </x:c>
      <x:c r="P35" s="13">
        <x:f t="shared" si="4"/>
      </x:c>
      <x:c r="Q35" s="13">
        <x:f t="shared" si="4"/>
      </x:c>
      <x:c r="R35" s="13" t="str">
        <x:f t="shared" si="4"/>
        <x:v>■</x:v>
      </x:c>
      <x:c r="S35" s="13" t="str">
        <x:f t="shared" si="4"/>
        <x:v>■</x:v>
      </x:c>
      <x:c r="T35" s="13">
        <x:f t="shared" si="4"/>
      </x:c>
      <x:c r="U35" s="13">
        <x:f t="shared" si="4"/>
      </x:c>
      <x:c r="V35" s="13">
        <x:f t="shared" si="4"/>
      </x:c>
      <x:c r="W35" s="13">
        <x:f t="shared" si="4"/>
      </x:c>
      <x:c r="X35"/>
      <x:c r="Y35"/>
      <x:c r="Z35"/>
      <x:c r="AA35"/>
      <x:c r="AB35"/>
      <x:c r="AC35"/>
      <x:c r="AD35"/>
      <x:c r="AE35"/>
      <x:c r="AF35"/>
      <x:c r="AG35"/>
      <x:c r="AH35"/>
      <x:c r="AI35"/>
      <x:c r="AJ35"/>
      <x:c r="AK35"/>
      <x:c r="AL35"/>
    </x:row>
    <x:row r="36" ht="24" customHeight="1">
      <x:c r="A36" s="33" t="str">
        <x:v>5.1.3</x:v>
      </x:c>
      <x:c r="B36" s="38" t="str">
        <x:v>Garage / Parking</x:v>
      </x:c>
      <x:c r="C36" s="33" t="str">
        <x:v>Register vehicle</x:v>
      </x:c>
      <x:c r="D36" s="90" t="n">
        <x:v>46360</x:v>
      </x:c>
      <x:c r="E36" s="90" t="n">
        <x:v>46371</x:v>
      </x:c>
      <x:c r="F36" s="94" t="n">
        <x:f t="shared" si="0"/>
        <x:v>8</x:v>
      </x:c>
      <x:c r="G36" s="12" t="str">
        <x:v>Planned</x:v>
      </x:c>
      <x:c r="H36" s="13">
        <x:f t="shared" si="4"/>
      </x:c>
      <x:c r="I36" s="13">
        <x:f t="shared" si="4"/>
      </x:c>
      <x:c r="J36" s="13">
        <x:f t="shared" si="4"/>
      </x:c>
      <x:c r="K36" s="13">
        <x:f t="shared" si="4"/>
      </x:c>
      <x:c r="L36" s="13">
        <x:f t="shared" si="4"/>
      </x:c>
      <x:c r="M36" s="13">
        <x:f t="shared" si="4"/>
      </x:c>
      <x:c r="N36" s="22">
        <x:f t="shared" si="4"/>
      </x:c>
      <x:c r="O36" s="13">
        <x:f t="shared" si="4"/>
      </x:c>
      <x:c r="P36" s="13">
        <x:f t="shared" si="4"/>
      </x:c>
      <x:c r="Q36" s="13">
        <x:f t="shared" si="4"/>
      </x:c>
      <x:c r="R36" s="13" t="str">
        <x:f t="shared" si="4"/>
        <x:v>■</x:v>
      </x:c>
      <x:c r="S36" s="13" t="str">
        <x:f t="shared" si="4"/>
        <x:v>■</x:v>
      </x:c>
      <x:c r="T36" s="13" t="str">
        <x:f t="shared" si="4"/>
        <x:v>■</x:v>
      </x:c>
      <x:c r="U36" s="13">
        <x:f t="shared" si="4"/>
      </x:c>
      <x:c r="V36" s="13">
        <x:f t="shared" si="4"/>
      </x:c>
      <x:c r="W36" s="13">
        <x:f t="shared" si="4"/>
      </x:c>
      <x:c r="X36"/>
      <x:c r="Y36"/>
      <x:c r="Z36"/>
      <x:c r="AA36"/>
      <x:c r="AB36"/>
      <x:c r="AC36"/>
      <x:c r="AD36"/>
      <x:c r="AE36"/>
      <x:c r="AF36"/>
      <x:c r="AG36"/>
      <x:c r="AH36"/>
      <x:c r="AI36"/>
      <x:c r="AJ36"/>
      <x:c r="AK36"/>
      <x:c r="AL36"/>
    </x:row>
    <x:row r="37" ht="24" customHeight="1">
      <x:c r="A37" s="33" t="str">
        <x:v>5.2.1</x:v>
      </x:c>
      <x:c r="B37" s="38" t="str">
        <x:v>Garage / Parking</x:v>
      </x:c>
      <x:c r="C37" s="33" t="str">
        <x:v>GPS garage location</x:v>
      </x:c>
      <x:c r="D37" s="90" t="n">
        <x:v>46371</x:v>
      </x:c>
      <x:c r="E37" s="90" t="n">
        <x:v>46377</x:v>
      </x:c>
      <x:c r="F37" s="94" t="n">
        <x:f t="shared" ref="F37:F62" si="5">NETWORKDAYS(D37,E37)</x:f>
        <x:v>5</x:v>
      </x:c>
      <x:c r="G37" s="12" t="str">
        <x:v>Planned</x:v>
      </x:c>
      <x:c r="H37" s="13">
        <x:f t="shared" si="4"/>
      </x:c>
      <x:c r="I37" s="13">
        <x:f t="shared" si="4"/>
      </x:c>
      <x:c r="J37" s="13">
        <x:f t="shared" si="4"/>
      </x:c>
      <x:c r="K37" s="13">
        <x:f t="shared" si="4"/>
      </x:c>
      <x:c r="L37" s="13">
        <x:f t="shared" si="4"/>
      </x:c>
      <x:c r="M37" s="13">
        <x:f t="shared" si="4"/>
      </x:c>
      <x:c r="N37" s="22">
        <x:f t="shared" si="4"/>
      </x:c>
      <x:c r="O37" s="22">
        <x:f t="shared" si="4"/>
      </x:c>
      <x:c r="P37" s="13">
        <x:f t="shared" si="4"/>
      </x:c>
      <x:c r="Q37" s="13">
        <x:f t="shared" si="4"/>
      </x:c>
      <x:c r="R37" s="13">
        <x:f t="shared" si="4"/>
      </x:c>
      <x:c r="S37" s="13">
        <x:f t="shared" si="4"/>
      </x:c>
      <x:c r="T37" s="13" t="str">
        <x:f t="shared" si="4"/>
        <x:v>■</x:v>
      </x:c>
      <x:c r="U37" s="13" t="str">
        <x:f t="shared" si="4"/>
        <x:v>■</x:v>
      </x:c>
      <x:c r="V37" s="13">
        <x:f t="shared" si="4"/>
      </x:c>
      <x:c r="W37" s="13">
        <x:f t="shared" si="4"/>
      </x:c>
      <x:c r="X37"/>
      <x:c r="Y37"/>
      <x:c r="Z37"/>
      <x:c r="AA37"/>
      <x:c r="AB37"/>
      <x:c r="AC37"/>
      <x:c r="AD37"/>
      <x:c r="AE37"/>
      <x:c r="AF37"/>
      <x:c r="AG37"/>
      <x:c r="AH37"/>
      <x:c r="AI37"/>
      <x:c r="AJ37"/>
      <x:c r="AK37"/>
      <x:c r="AL37"/>
    </x:row>
    <x:row r="38" ht="24" customHeight="1">
      <x:c r="A38" s="33" t="str">
        <x:v>5.2.2</x:v>
      </x:c>
      <x:c r="B38" s="38" t="str">
        <x:v>Garage / Parking</x:v>
      </x:c>
      <x:c r="C38" s="33" t="str">
        <x:v>Link to system registry</x:v>
      </x:c>
      <x:c r="D38" s="90" t="n">
        <x:v>46371</x:v>
      </x:c>
      <x:c r="E38" s="90" t="n">
        <x:v>46385</x:v>
      </x:c>
      <x:c r="F38" s="94" t="n">
        <x:f t="shared" si="5"/>
        <x:v>11</x:v>
      </x:c>
      <x:c r="G38" s="12" t="str">
        <x:v>Planned</x:v>
      </x:c>
      <x:c r="H38" s="13">
        <x:f t="shared" si="4"/>
      </x:c>
      <x:c r="I38" s="13">
        <x:f t="shared" si="4"/>
      </x:c>
      <x:c r="J38" s="13">
        <x:f t="shared" si="4"/>
      </x:c>
      <x:c r="K38" s="13">
        <x:f t="shared" si="4"/>
      </x:c>
      <x:c r="L38" s="13">
        <x:f t="shared" si="4"/>
      </x:c>
      <x:c r="M38" s="13">
        <x:f t="shared" si="4"/>
      </x:c>
      <x:c r="N38" s="13">
        <x:f t="shared" si="4"/>
      </x:c>
      <x:c r="O38" s="22">
        <x:f t="shared" si="4"/>
      </x:c>
      <x:c r="P38" s="22">
        <x:f t="shared" si="4"/>
      </x:c>
      <x:c r="Q38" s="13">
        <x:f t="shared" si="4"/>
      </x:c>
      <x:c r="R38" s="13">
        <x:f t="shared" si="4"/>
      </x:c>
      <x:c r="S38" s="13">
        <x:f t="shared" si="4"/>
      </x:c>
      <x:c r="T38" s="13" t="str">
        <x:f t="shared" si="4"/>
        <x:v>■</x:v>
      </x:c>
      <x:c r="U38" s="13" t="str">
        <x:f t="shared" si="4"/>
        <x:v>■</x:v>
      </x:c>
      <x:c r="V38" s="13" t="str">
        <x:f t="shared" si="4"/>
        <x:v>■</x:v>
      </x:c>
      <x:c r="W38" s="13">
        <x:f t="shared" si="4"/>
      </x:c>
      <x:c r="X38"/>
      <x:c r="Y38"/>
      <x:c r="Z38"/>
      <x:c r="AA38"/>
      <x:c r="AB38"/>
      <x:c r="AC38"/>
      <x:c r="AD38"/>
      <x:c r="AE38"/>
      <x:c r="AF38"/>
      <x:c r="AG38"/>
      <x:c r="AH38"/>
      <x:c r="AI38"/>
      <x:c r="AJ38"/>
      <x:c r="AK38"/>
      <x:c r="AL38"/>
    </x:row>
    <x:row r="39" ht="24" customHeight="1">
      <x:c r="A39" s="33" t="str">
        <x:v>5.M</x:v>
      </x:c>
      <x:c r="B39" s="39" t="str">
        <x:v>Garage / Parking</x:v>
      </x:c>
      <x:c r="C39" s="33" t="str">
        <x:v>Garage and vehicle integration test</x:v>
      </x:c>
      <x:c r="D39" s="90" t="n">
        <x:v>46387</x:v>
      </x:c>
      <x:c r="E39" s="90" t="n">
        <x:v>46398</x:v>
      </x:c>
      <x:c r="F39" s="94" t="n">
        <x:f t="shared" si="5"/>
        <x:v>8</x:v>
      </x:c>
      <x:c r="G39" s="12" t="str">
        <x:v>Milestone</x:v>
      </x:c>
      <x:c r="H39" s="13">
        <x:f t="shared" si="4"/>
      </x:c>
      <x:c r="I39" s="13">
        <x:f t="shared" si="4"/>
      </x:c>
      <x:c r="J39" s="13">
        <x:f t="shared" si="4"/>
      </x:c>
      <x:c r="K39" s="13">
        <x:f t="shared" si="4"/>
      </x:c>
      <x:c r="L39" s="13">
        <x:f t="shared" si="4"/>
      </x:c>
      <x:c r="M39" s="13">
        <x:f t="shared" si="4"/>
      </x:c>
      <x:c r="N39" s="13">
        <x:f t="shared" si="4"/>
      </x:c>
      <x:c r="O39" s="23">
        <x:f t="shared" si="4"/>
      </x:c>
      <x:c r="P39" s="13">
        <x:f t="shared" si="4"/>
      </x:c>
      <x:c r="Q39" s="13">
        <x:f t="shared" si="4"/>
      </x:c>
      <x:c r="R39" s="13">
        <x:f t="shared" si="4"/>
      </x:c>
      <x:c r="S39" s="13">
        <x:f t="shared" si="4"/>
      </x:c>
      <x:c r="T39" s="13">
        <x:f t="shared" si="4"/>
      </x:c>
      <x:c r="U39" s="13">
        <x:f t="shared" si="4"/>
      </x:c>
      <x:c r="V39" s="13" t="str">
        <x:f t="shared" si="4"/>
        <x:v>■</x:v>
      </x:c>
      <x:c r="W39" s="13" t="str">
        <x:f t="shared" si="4"/>
        <x:v>■</x:v>
      </x:c>
      <x:c r="X39" t="str">
        <x:v>■</x:v>
      </x:c>
      <x:c r="Y39"/>
      <x:c r="Z39"/>
      <x:c r="AA39"/>
      <x:c r="AB39"/>
      <x:c r="AC39"/>
      <x:c r="AD39"/>
      <x:c r="AE39"/>
      <x:c r="AF39"/>
      <x:c r="AG39"/>
      <x:c r="AH39"/>
      <x:c r="AI39"/>
      <x:c r="AJ39"/>
      <x:c r="AK39"/>
      <x:c r="AL39"/>
    </x:row>
    <x:row r="40" ht="24" customHeight="1">
      <x:c r="A40" s="33" t="str">
        <x:v>5.2.3</x:v>
      </x:c>
      <x:c r="B40" s="39" t="str">
        <x:v>Garage / Parking</x:v>
      </x:c>
      <x:c r="C40" s="33" t="str">
        <x:v>Search garages by name or location</x:v>
      </x:c>
      <x:c r="D40" s="90" t="n">
        <x:v>46391</x:v>
      </x:c>
      <x:c r="E40" s="90" t="n">
        <x:v>46402</x:v>
      </x:c>
      <x:c r="F40" s="94" t="n">
        <x:f t="shared" si="5"/>
        <x:v>10</x:v>
      </x:c>
      <x:c r="G40" s="12" t="str">
        <x:v>Planned</x:v>
      </x:c>
      <x:c r="H40" s="13">
        <x:f t="shared" si="4"/>
      </x:c>
      <x:c r="I40" s="13">
        <x:f t="shared" si="4"/>
      </x:c>
      <x:c r="J40" s="13">
        <x:f t="shared" si="4"/>
      </x:c>
      <x:c r="K40" s="13">
        <x:f t="shared" si="4"/>
      </x:c>
      <x:c r="L40" s="13">
        <x:f t="shared" si="4"/>
      </x:c>
      <x:c r="M40" s="13">
        <x:f t="shared" si="4"/>
      </x:c>
      <x:c r="N40" s="13">
        <x:f t="shared" si="4"/>
      </x:c>
      <x:c r="O40" s="23">
        <x:f t="shared" si="4"/>
      </x:c>
      <x:c r="P40" s="23">
        <x:f t="shared" si="4"/>
      </x:c>
      <x:c r="Q40" s="13">
        <x:f t="shared" si="4"/>
      </x:c>
      <x:c r="R40" s="13">
        <x:f t="shared" si="4"/>
      </x:c>
      <x:c r="S40" s="13">
        <x:f t="shared" si="4"/>
      </x:c>
      <x:c r="T40" s="13">
        <x:f t="shared" si="4"/>
      </x:c>
      <x:c r="U40" s="13">
        <x:f t="shared" si="4"/>
      </x:c>
      <x:c r="V40" s="13">
        <x:f t="shared" si="4"/>
      </x:c>
      <x:c r="W40" s="13" t="str">
        <x:f t="shared" si="4"/>
        <x:v>■</x:v>
      </x:c>
      <x:c r="X40" t="str">
        <x:v>■</x:v>
      </x:c>
      <x:c r="Y40"/>
      <x:c r="Z40"/>
      <x:c r="AA40"/>
      <x:c r="AB40"/>
      <x:c r="AC40"/>
      <x:c r="AD40"/>
      <x:c r="AE40"/>
      <x:c r="AF40"/>
      <x:c r="AG40"/>
      <x:c r="AH40"/>
      <x:c r="AI40"/>
      <x:c r="AJ40"/>
      <x:c r="AK40"/>
      <x:c r="AL40"/>
    </x:row>
    <x:row r="41" ht="24" customHeight="1">
      <x:c r="A41" s="33" t="str">
        <x:v>5.2.4</x:v>
      </x:c>
      <x:c r="B41" s="39" t="str">
        <x:v>Garage / Parking</x:v>
      </x:c>
      <x:c r="C41" s="33" t="str">
        <x:v>Filter garages by availability</x:v>
      </x:c>
      <x:c r="D41" s="90" t="n">
        <x:v>46426</x:v>
      </x:c>
      <x:c r="E41" s="90" t="n">
        <x:v>46437</x:v>
      </x:c>
      <x:c r="F41" s="94" t="n">
        <x:f t="shared" si="5"/>
        <x:v>10</x:v>
      </x:c>
      <x:c r="G41" s="12" t="str">
        <x:v>Planned</x:v>
      </x:c>
      <x:c r="H41" s="13">
        <x:f t="shared" si="4"/>
      </x:c>
      <x:c r="I41" s="13">
        <x:f t="shared" si="4"/>
      </x:c>
      <x:c r="J41" s="13">
        <x:f t="shared" si="4"/>
      </x:c>
      <x:c r="K41" s="13">
        <x:f t="shared" si="4"/>
      </x:c>
      <x:c r="L41" s="13">
        <x:f t="shared" si="4"/>
      </x:c>
      <x:c r="M41" s="13">
        <x:f t="shared" si="4"/>
      </x:c>
      <x:c r="N41" s="13">
        <x:f t="shared" si="4"/>
      </x:c>
      <x:c r="O41" s="13">
        <x:f t="shared" si="4"/>
      </x:c>
      <x:c r="P41" s="23">
        <x:f t="shared" si="4"/>
      </x:c>
      <x:c r="Q41" s="23">
        <x:f t="shared" si="4"/>
      </x:c>
      <x:c r="R41" s="13">
        <x:f t="shared" si="4"/>
      </x:c>
      <x:c r="S41" s="13">
        <x:f t="shared" si="4"/>
      </x:c>
      <x:c r="T41" s="13">
        <x:f t="shared" si="4"/>
      </x:c>
      <x:c r="U41" s="13">
        <x:f t="shared" si="4"/>
      </x:c>
      <x:c r="V41" s="13">
        <x:f t="shared" si="4"/>
      </x:c>
      <x:c r="W41" s="13">
        <x:f t="shared" si="4"/>
      </x:c>
      <x:c r="X41"/>
      <x:c r="Y41"/>
      <x:c r="Z41"/>
      <x:c r="AA41"/>
      <x:c r="AB41" t="str">
        <x:v>■</x:v>
      </x:c>
      <x:c r="AC41" t="str">
        <x:v>■</x:v>
      </x:c>
      <x:c r="AD41"/>
      <x:c r="AE41"/>
      <x:c r="AF41"/>
      <x:c r="AG41"/>
      <x:c r="AH41"/>
      <x:c r="AI41"/>
      <x:c r="AJ41"/>
      <x:c r="AK41"/>
      <x:c r="AL41"/>
    </x:row>
    <x:row r="42" ht="24" customHeight="1">
      <x:c r="A42" s="33" t="str">
        <x:v>6.1.1</x:v>
      </x:c>
      <x:c r="B42" s="39" t="str">
        <x:v>Payment</x:v>
      </x:c>
      <x:c r="C42" s="33" t="str">
        <x:v>Select parking space</x:v>
      </x:c>
      <x:c r="D42" s="90" t="n">
        <x:v>46384</x:v>
      </x:c>
      <x:c r="E42" s="90" t="n">
        <x:v>46388</x:v>
      </x:c>
      <x:c r="F42" s="94" t="n">
        <x:f t="shared" si="5"/>
        <x:v>5</x:v>
      </x:c>
      <x:c r="G42" s="12" t="str">
        <x:v>Planned</x:v>
      </x:c>
      <x:c r="H42" s="13">
        <x:f t="shared" si="4"/>
      </x:c>
      <x:c r="I42" s="13">
        <x:f t="shared" si="4"/>
      </x:c>
      <x:c r="J42" s="13">
        <x:f t="shared" si="4"/>
      </x:c>
      <x:c r="K42" s="13">
        <x:f t="shared" si="4"/>
      </x:c>
      <x:c r="L42" s="13">
        <x:f t="shared" si="4"/>
      </x:c>
      <x:c r="M42" s="13">
        <x:f t="shared" si="4"/>
      </x:c>
      <x:c r="N42" s="13">
        <x:f t="shared" si="4"/>
      </x:c>
      <x:c r="O42" s="13">
        <x:f t="shared" si="4"/>
      </x:c>
      <x:c r="P42" s="13">
        <x:f t="shared" si="4"/>
      </x:c>
      <x:c r="Q42" s="23">
        <x:f t="shared" si="4"/>
      </x:c>
      <x:c r="R42" s="13">
        <x:f t="shared" si="4"/>
      </x:c>
      <x:c r="S42" s="13">
        <x:f t="shared" si="4"/>
      </x:c>
      <x:c r="T42" s="13">
        <x:f t="shared" si="4"/>
      </x:c>
      <x:c r="U42" s="13">
        <x:f t="shared" si="4"/>
      </x:c>
      <x:c r="V42" s="13" t="str">
        <x:f t="shared" si="4"/>
        <x:v>■</x:v>
      </x:c>
      <x:c r="W42" s="13">
        <x:f t="shared" si="4"/>
      </x:c>
      <x:c r="X42"/>
      <x:c r="Y42"/>
      <x:c r="Z42"/>
      <x:c r="AA42"/>
      <x:c r="AB42"/>
      <x:c r="AC42"/>
      <x:c r="AD42"/>
      <x:c r="AE42"/>
      <x:c r="AF42"/>
      <x:c r="AG42"/>
      <x:c r="AH42"/>
      <x:c r="AI42"/>
      <x:c r="AJ42"/>
      <x:c r="AK42"/>
      <x:c r="AL42"/>
    </x:row>
    <x:row r="43" ht="24" customHeight="1">
      <x:c r="A43" s="33" t="str">
        <x:v>6.1.2</x:v>
      </x:c>
      <x:c r="B43" s="39" t="str">
        <x:v>Payment</x:v>
      </x:c>
      <x:c r="C43" s="33" t="str">
        <x:v>Enter payment information</x:v>
      </x:c>
      <x:c r="D43" s="90" t="n">
        <x:v>46387</x:v>
      </x:c>
      <x:c r="E43" s="90" t="n">
        <x:v>46398</x:v>
      </x:c>
      <x:c r="F43" s="94" t="n">
        <x:f t="shared" si="5"/>
        <x:v>8</x:v>
      </x:c>
      <x:c r="G43" s="12" t="str">
        <x:v>Planned</x:v>
      </x:c>
      <x:c r="H43" s="13">
        <x:f t="shared" si="4"/>
      </x:c>
      <x:c r="I43" s="13">
        <x:f t="shared" si="4"/>
      </x:c>
      <x:c r="J43" s="13">
        <x:f t="shared" si="4"/>
      </x:c>
      <x:c r="K43" s="13">
        <x:f t="shared" si="4"/>
      </x:c>
      <x:c r="L43" s="13">
        <x:f t="shared" si="4"/>
      </x:c>
      <x:c r="M43" s="13">
        <x:f t="shared" si="4"/>
      </x:c>
      <x:c r="N43" s="13">
        <x:f t="shared" si="4"/>
      </x:c>
      <x:c r="O43" s="13">
        <x:f t="shared" si="4"/>
      </x:c>
      <x:c r="P43" s="13">
        <x:f t="shared" si="4"/>
      </x:c>
      <x:c r="Q43" s="23">
        <x:f t="shared" si="4"/>
      </x:c>
      <x:c r="R43" s="23">
        <x:f t="shared" si="4"/>
      </x:c>
      <x:c r="S43" s="13">
        <x:f t="shared" si="4"/>
      </x:c>
      <x:c r="T43" s="13">
        <x:f t="shared" si="4"/>
      </x:c>
      <x:c r="U43" s="13">
        <x:f t="shared" si="4"/>
      </x:c>
      <x:c r="V43" s="13" t="str">
        <x:f t="shared" si="4"/>
        <x:v>■</x:v>
      </x:c>
      <x:c r="W43" s="13" t="str">
        <x:f t="shared" si="4"/>
        <x:v>■</x:v>
      </x:c>
      <x:c r="X43" t="str">
        <x:v>■</x:v>
      </x:c>
      <x:c r="Y43"/>
      <x:c r="Z43"/>
      <x:c r="AA43"/>
      <x:c r="AB43"/>
      <x:c r="AC43"/>
      <x:c r="AD43"/>
      <x:c r="AE43"/>
      <x:c r="AF43"/>
      <x:c r="AG43"/>
      <x:c r="AH43"/>
      <x:c r="AI43"/>
      <x:c r="AJ43"/>
      <x:c r="AK43"/>
      <x:c r="AL43"/>
    </x:row>
    <x:row r="44" ht="24" customHeight="1">
      <x:c r="A44" s="33" t="str">
        <x:v>6.1.3</x:v>
      </x:c>
      <x:c r="B44" s="39" t="str">
        <x:v>Payment</x:v>
      </x:c>
      <x:c r="C44" s="33" t="str">
        <x:v>Process payment</x:v>
      </x:c>
      <x:c r="D44" s="90" t="n">
        <x:v>46393</x:v>
      </x:c>
      <x:c r="E44" s="90" t="n">
        <x:v>46407</x:v>
      </x:c>
      <x:c r="F44" s="94" t="n">
        <x:f t="shared" si="5"/>
        <x:v>11</x:v>
      </x:c>
      <x:c r="G44" s="12" t="str">
        <x:v>Planned</x:v>
      </x:c>
      <x:c r="H44" s="13">
        <x:f t="shared" si="4"/>
      </x:c>
      <x:c r="I44" s="13">
        <x:f t="shared" si="4"/>
      </x:c>
      <x:c r="J44" s="13">
        <x:f t="shared" si="4"/>
      </x:c>
      <x:c r="K44" s="13">
        <x:f t="shared" si="4"/>
      </x:c>
      <x:c r="L44" s="13">
        <x:f t="shared" si="4"/>
      </x:c>
      <x:c r="M44" s="13">
        <x:f t="shared" si="4"/>
      </x:c>
      <x:c r="N44" s="13">
        <x:f t="shared" si="4"/>
      </x:c>
      <x:c r="O44" s="13">
        <x:f t="shared" si="4"/>
      </x:c>
      <x:c r="P44" s="13">
        <x:f t="shared" si="4"/>
      </x:c>
      <x:c r="Q44" s="13">
        <x:f t="shared" si="4"/>
      </x:c>
      <x:c r="R44" s="23">
        <x:f t="shared" si="4"/>
      </x:c>
      <x:c r="S44" s="13">
        <x:f t="shared" si="4"/>
      </x:c>
      <x:c r="T44" s="13">
        <x:f t="shared" si="4"/>
      </x:c>
      <x:c r="U44" s="13">
        <x:f t="shared" si="4"/>
      </x:c>
      <x:c r="V44" s="13">
        <x:f t="shared" si="4"/>
      </x:c>
      <x:c r="W44" s="13" t="str">
        <x:f t="shared" si="4"/>
        <x:v>■</x:v>
      </x:c>
      <x:c r="X44" t="str">
        <x:v>■</x:v>
      </x:c>
      <x:c r="Y44" t="str">
        <x:v>■</x:v>
      </x:c>
      <x:c r="Z44"/>
      <x:c r="AA44"/>
      <x:c r="AB44"/>
      <x:c r="AC44"/>
      <x:c r="AD44"/>
      <x:c r="AE44"/>
      <x:c r="AF44"/>
      <x:c r="AG44"/>
      <x:c r="AH44"/>
      <x:c r="AI44"/>
      <x:c r="AJ44"/>
      <x:c r="AK44"/>
      <x:c r="AL44"/>
    </x:row>
    <x:row r="45" ht="24" customHeight="1">
      <x:c r="A45" s="33" t="str">
        <x:v>6.2.1</x:v>
      </x:c>
      <x:c r="B45" s="39" t="str">
        <x:v>Payment</x:v>
      </x:c>
      <x:c r="C45" s="33" t="str">
        <x:v>Confirm selected parking space</x:v>
      </x:c>
      <x:c r="D45" s="90" t="n">
        <x:v>46405</x:v>
      </x:c>
      <x:c r="E45" s="90" t="n">
        <x:v>46407</x:v>
      </x:c>
      <x:c r="F45" s="94" t="n">
        <x:f t="shared" si="5"/>
        <x:v>3</x:v>
      </x:c>
      <x:c r="G45" s="12" t="str">
        <x:v>Planned</x:v>
      </x:c>
      <x:c r="H45" s="13">
        <x:f t="shared" ref="H45:W54" si="6">IF(AND(H$5&lt;=$E45,H$5+6&gt;=$D45),"■","")</x:f>
      </x:c>
      <x:c r="I45" s="13">
        <x:f t="shared" si="6"/>
      </x:c>
      <x:c r="J45" s="13">
        <x:f t="shared" si="6"/>
      </x:c>
      <x:c r="K45" s="13">
        <x:f t="shared" si="6"/>
      </x:c>
      <x:c r="L45" s="13">
        <x:f t="shared" si="6"/>
      </x:c>
      <x:c r="M45" s="13">
        <x:f t="shared" si="6"/>
      </x:c>
      <x:c r="N45" s="13">
        <x:f t="shared" si="6"/>
      </x:c>
      <x:c r="O45" s="13">
        <x:f t="shared" si="6"/>
      </x:c>
      <x:c r="P45" s="13">
        <x:f t="shared" si="6"/>
      </x:c>
      <x:c r="Q45" s="13">
        <x:f t="shared" si="6"/>
      </x:c>
      <x:c r="R45" s="13">
        <x:f t="shared" si="6"/>
      </x:c>
      <x:c r="S45" s="23">
        <x:f t="shared" si="6"/>
      </x:c>
      <x:c r="T45" s="13">
        <x:f t="shared" si="6"/>
      </x:c>
      <x:c r="U45" s="13">
        <x:f t="shared" si="6"/>
      </x:c>
      <x:c r="V45" s="13">
        <x:f t="shared" si="6"/>
      </x:c>
      <x:c r="W45" s="13">
        <x:f t="shared" si="6"/>
      </x:c>
      <x:c r="X45"/>
      <x:c r="Y45" t="str">
        <x:v>■</x:v>
      </x:c>
      <x:c r="Z45"/>
      <x:c r="AA45"/>
      <x:c r="AB45"/>
      <x:c r="AC45"/>
      <x:c r="AD45"/>
      <x:c r="AE45"/>
      <x:c r="AF45"/>
      <x:c r="AG45"/>
      <x:c r="AH45"/>
      <x:c r="AI45"/>
      <x:c r="AJ45"/>
      <x:c r="AK45"/>
      <x:c r="AL45"/>
    </x:row>
    <x:row r="46" ht="24" customHeight="1">
      <x:c r="A46" s="33" t="str">
        <x:v>6.2.2</x:v>
      </x:c>
      <x:c r="B46" s="40" t="str">
        <x:v>Payment</x:v>
      </x:c>
      <x:c r="C46" s="33" t="str">
        <x:v> confirm payment details</x:v>
      </x:c>
      <x:c r="D46" s="90" t="n">
        <x:v>46405</x:v>
      </x:c>
      <x:c r="E46" s="90" t="n">
        <x:v>46414</x:v>
      </x:c>
      <x:c r="F46" s="94" t="n">
        <x:f t="shared" si="5"/>
        <x:v>8</x:v>
      </x:c>
      <x:c r="G46" s="12" t="str">
        <x:v>Planned</x:v>
      </x:c>
      <x:c r="H46" s="13">
        <x:f t="shared" si="6"/>
      </x:c>
      <x:c r="I46" s="13">
        <x:f t="shared" si="6"/>
      </x:c>
      <x:c r="J46" s="13">
        <x:f t="shared" si="6"/>
      </x:c>
      <x:c r="K46" s="13">
        <x:f t="shared" si="6"/>
      </x:c>
      <x:c r="L46" s="13">
        <x:f t="shared" si="6"/>
      </x:c>
      <x:c r="M46" s="13">
        <x:f t="shared" si="6"/>
      </x:c>
      <x:c r="N46" s="13">
        <x:f t="shared" si="6"/>
      </x:c>
      <x:c r="O46" s="13">
        <x:f t="shared" si="6"/>
      </x:c>
      <x:c r="P46" s="24">
        <x:f t="shared" si="6"/>
      </x:c>
      <x:c r="Q46" s="24">
        <x:f t="shared" si="6"/>
      </x:c>
      <x:c r="R46" s="13">
        <x:f t="shared" si="6"/>
      </x:c>
      <x:c r="S46" s="13">
        <x:f t="shared" si="6"/>
      </x:c>
      <x:c r="T46" s="13">
        <x:f t="shared" si="6"/>
      </x:c>
      <x:c r="U46" s="13">
        <x:f t="shared" si="6"/>
      </x:c>
      <x:c r="V46" s="13">
        <x:f t="shared" si="6"/>
      </x:c>
      <x:c r="W46" s="13">
        <x:f t="shared" si="6"/>
      </x:c>
      <x:c r="X46"/>
      <x:c r="Y46" t="str">
        <x:v>■</x:v>
      </x:c>
      <x:c r="Z46" t="str">
        <x:v>■</x:v>
      </x:c>
      <x:c r="AA46"/>
      <x:c r="AB46"/>
      <x:c r="AC46"/>
      <x:c r="AD46"/>
      <x:c r="AE46"/>
      <x:c r="AF46"/>
      <x:c r="AG46"/>
      <x:c r="AH46"/>
      <x:c r="AI46"/>
      <x:c r="AJ46"/>
      <x:c r="AK46"/>
      <x:c r="AL46"/>
    </x:row>
    <x:row r="47" ht="24" customHeight="1">
      <x:c r="A47" s="33" t="str">
        <x:v>6.2.3</x:v>
      </x:c>
      <x:c r="B47" s="40" t="str">
        <x:v>Payment</x:v>
      </x:c>
      <x:c r="C47" s="33" t="str">
        <x:v>Procss Payment system </x:v>
      </x:c>
      <x:c r="D47" s="90" t="n">
        <x:v>46414</x:v>
      </x:c>
      <x:c r="E47" s="90" t="n">
        <x:v>46420</x:v>
      </x:c>
      <x:c r="F47" s="94" t="n">
        <x:f t="shared" si="5"/>
        <x:v>5</x:v>
      </x:c>
      <x:c r="G47" s="12" t="str">
        <x:v>Planned</x:v>
      </x:c>
      <x:c r="H47" s="13">
        <x:f t="shared" si="6"/>
      </x:c>
      <x:c r="I47" s="13">
        <x:f t="shared" si="6"/>
      </x:c>
      <x:c r="J47" s="13">
        <x:f t="shared" si="6"/>
      </x:c>
      <x:c r="K47" s="13">
        <x:f t="shared" si="6"/>
      </x:c>
      <x:c r="L47" s="13">
        <x:f t="shared" si="6"/>
      </x:c>
      <x:c r="M47" s="13">
        <x:f t="shared" si="6"/>
      </x:c>
      <x:c r="N47" s="13">
        <x:f t="shared" si="6"/>
      </x:c>
      <x:c r="O47" s="13">
        <x:f t="shared" si="6"/>
      </x:c>
      <x:c r="P47" s="13">
        <x:f t="shared" si="6"/>
      </x:c>
      <x:c r="Q47" s="24">
        <x:f t="shared" si="6"/>
      </x:c>
      <x:c r="R47" s="24">
        <x:f t="shared" si="6"/>
      </x:c>
      <x:c r="S47" s="13">
        <x:f t="shared" si="6"/>
      </x:c>
      <x:c r="T47" s="13">
        <x:f t="shared" si="6"/>
      </x:c>
      <x:c r="U47" s="13">
        <x:f t="shared" si="6"/>
      </x:c>
      <x:c r="V47" s="13">
        <x:f t="shared" si="6"/>
      </x:c>
      <x:c r="W47" s="13">
        <x:f t="shared" si="6"/>
      </x:c>
      <x:c r="X47"/>
      <x:c r="Y47"/>
      <x:c r="Z47" t="str">
        <x:v>■</x:v>
      </x:c>
      <x:c r="AA47" t="str">
        <x:v>■</x:v>
      </x:c>
      <x:c r="AB47"/>
      <x:c r="AC47"/>
      <x:c r="AD47"/>
      <x:c r="AE47"/>
      <x:c r="AF47"/>
      <x:c r="AG47"/>
      <x:c r="AH47"/>
      <x:c r="AI47"/>
      <x:c r="AJ47"/>
      <x:c r="AK47"/>
      <x:c r="AL47"/>
    </x:row>
    <x:row r="48" ht="24" customHeight="1">
      <x:c r="A48" s="33" t="str">
        <x:v>6.M</x:v>
      </x:c>
      <x:c r="B48" s="40" t="str">
        <x:v>Payment</x:v>
      </x:c>
      <x:c r="C48" s="33" t="str">
        <x:v>Payment  test</x:v>
      </x:c>
      <x:c r="D48" s="90" t="n">
        <x:v>46426</x:v>
      </x:c>
      <x:c r="E48" s="90" t="n">
        <x:v>46433</x:v>
      </x:c>
      <x:c r="F48" s="94" t="n">
        <x:f t="shared" si="5"/>
        <x:v>6</x:v>
      </x:c>
      <x:c r="G48" s="12" t="str">
        <x:v>Milestone</x:v>
      </x:c>
      <x:c r="H48" s="13">
        <x:f t="shared" si="6"/>
      </x:c>
      <x:c r="I48" s="13">
        <x:f t="shared" si="6"/>
      </x:c>
      <x:c r="J48" s="13">
        <x:f t="shared" si="6"/>
      </x:c>
      <x:c r="K48" s="13">
        <x:f t="shared" si="6"/>
      </x:c>
      <x:c r="L48" s="13">
        <x:f t="shared" si="6"/>
      </x:c>
      <x:c r="M48" s="13">
        <x:f t="shared" si="6"/>
      </x:c>
      <x:c r="N48" s="13">
        <x:f t="shared" si="6"/>
      </x:c>
      <x:c r="O48" s="13">
        <x:f t="shared" si="6"/>
      </x:c>
      <x:c r="P48" s="13">
        <x:f t="shared" si="6"/>
      </x:c>
      <x:c r="Q48" s="13">
        <x:f t="shared" si="6"/>
      </x:c>
      <x:c r="R48" s="24">
        <x:f t="shared" si="6"/>
      </x:c>
      <x:c r="S48" s="13">
        <x:f t="shared" si="6"/>
      </x:c>
      <x:c r="T48" s="13">
        <x:f t="shared" si="6"/>
      </x:c>
      <x:c r="U48" s="13">
        <x:f t="shared" si="6"/>
      </x:c>
      <x:c r="V48" s="13">
        <x:f t="shared" si="6"/>
      </x:c>
      <x:c r="W48" s="13">
        <x:f t="shared" si="6"/>
      </x:c>
      <x:c r="X48"/>
      <x:c r="Y48"/>
      <x:c r="Z48"/>
      <x:c r="AA48"/>
      <x:c r="AB48" t="str">
        <x:v>■</x:v>
      </x:c>
      <x:c r="AC48" t="str">
        <x:v>■</x:v>
      </x:c>
      <x:c r="AD48"/>
      <x:c r="AE48"/>
      <x:c r="AF48"/>
      <x:c r="AG48"/>
      <x:c r="AH48"/>
      <x:c r="AI48"/>
      <x:c r="AJ48"/>
      <x:c r="AK48"/>
      <x:c r="AL48"/>
    </x:row>
    <x:row r="49" ht="24" customHeight="1">
      <x:c r="A49" s="33" t="str">
        <x:v>7.1.1</x:v>
      </x:c>
      <x:c r="B49" s="40" t="str">
        <x:v>Reporting</x:v>
      </x:c>
      <x:c r="C49" s="33" t="str">
        <x:v>Track garage occupancy</x:v>
      </x:c>
      <x:c r="D49" s="90" t="n">
        <x:v>46393</x:v>
      </x:c>
      <x:c r="E49" s="90" t="n">
        <x:v>46405</x:v>
      </x:c>
      <x:c r="F49" s="94" t="n">
        <x:f t="shared" si="5"/>
        <x:v>9</x:v>
      </x:c>
      <x:c r="G49" s="12" t="str">
        <x:v>Planned</x:v>
      </x:c>
      <x:c r="H49" s="13">
        <x:f t="shared" si="6"/>
      </x:c>
      <x:c r="I49" s="13">
        <x:f t="shared" si="6"/>
      </x:c>
      <x:c r="J49" s="13">
        <x:f t="shared" si="6"/>
      </x:c>
      <x:c r="K49" s="13">
        <x:f t="shared" si="6"/>
      </x:c>
      <x:c r="L49" s="13">
        <x:f t="shared" si="6"/>
      </x:c>
      <x:c r="M49" s="13">
        <x:f t="shared" si="6"/>
      </x:c>
      <x:c r="N49" s="13">
        <x:f t="shared" si="6"/>
      </x:c>
      <x:c r="O49" s="13">
        <x:f t="shared" si="6"/>
      </x:c>
      <x:c r="P49" s="13">
        <x:f t="shared" si="6"/>
      </x:c>
      <x:c r="Q49" s="24">
        <x:f t="shared" si="6"/>
      </x:c>
      <x:c r="R49" s="13">
        <x:f t="shared" si="6"/>
      </x:c>
      <x:c r="S49" s="13">
        <x:f t="shared" si="6"/>
      </x:c>
      <x:c r="T49" s="13">
        <x:f t="shared" si="6"/>
      </x:c>
      <x:c r="U49" s="13">
        <x:f t="shared" si="6"/>
      </x:c>
      <x:c r="V49" s="13">
        <x:f t="shared" si="6"/>
      </x:c>
      <x:c r="W49" s="13" t="str">
        <x:f t="shared" si="6"/>
        <x:v>■</x:v>
      </x:c>
      <x:c r="X49" t="str">
        <x:v>■</x:v>
      </x:c>
      <x:c r="Y49" t="str">
        <x:v>■</x:v>
      </x:c>
      <x:c r="Z49"/>
      <x:c r="AA49"/>
      <x:c r="AB49"/>
      <x:c r="AC49"/>
      <x:c r="AD49"/>
      <x:c r="AE49"/>
      <x:c r="AF49"/>
      <x:c r="AG49"/>
      <x:c r="AH49"/>
      <x:c r="AI49"/>
      <x:c r="AJ49"/>
      <x:c r="AK49"/>
      <x:c r="AL49"/>
    </x:row>
    <x:row r="50" ht="24" customHeight="1">
      <x:c r="A50" s="33" t="str">
        <x:v>7.1.2</x:v>
      </x:c>
      <x:c r="B50" s="40" t="str">
        <x:v>Reporting</x:v>
      </x:c>
      <x:c r="C50" s="33" t="str">
        <x:v>Generate occupancy table</x:v>
      </x:c>
      <x:c r="D50" s="90" t="n">
        <x:v>46405</x:v>
      </x:c>
      <x:c r="E50" s="90" t="n">
        <x:v>46414</x:v>
      </x:c>
      <x:c r="F50" s="94" t="n">
        <x:f t="shared" si="5"/>
        <x:v>8</x:v>
      </x:c>
      <x:c r="G50" s="12" t="str">
        <x:v>Planned</x:v>
      </x:c>
      <x:c r="H50" s="13">
        <x:f t="shared" si="6"/>
      </x:c>
      <x:c r="I50" s="13">
        <x:f t="shared" si="6"/>
      </x:c>
      <x:c r="J50" s="13">
        <x:f t="shared" si="6"/>
      </x:c>
      <x:c r="K50" s="13">
        <x:f t="shared" si="6"/>
      </x:c>
      <x:c r="L50" s="13">
        <x:f t="shared" si="6"/>
      </x:c>
      <x:c r="M50" s="13">
        <x:f t="shared" si="6"/>
      </x:c>
      <x:c r="N50" s="13">
        <x:f t="shared" si="6"/>
      </x:c>
      <x:c r="O50" s="13">
        <x:f t="shared" si="6"/>
      </x:c>
      <x:c r="P50" s="13">
        <x:f t="shared" si="6"/>
      </x:c>
      <x:c r="Q50" s="13">
        <x:f t="shared" si="6"/>
      </x:c>
      <x:c r="R50" s="24">
        <x:f t="shared" si="6"/>
      </x:c>
      <x:c r="S50" s="13">
        <x:f t="shared" si="6"/>
      </x:c>
      <x:c r="T50" s="13">
        <x:f t="shared" si="6"/>
      </x:c>
      <x:c r="U50" s="13">
        <x:f t="shared" si="6"/>
      </x:c>
      <x:c r="V50" s="13">
        <x:f t="shared" si="6"/>
      </x:c>
      <x:c r="W50" s="13">
        <x:f t="shared" si="6"/>
      </x:c>
      <x:c r="X50"/>
      <x:c r="Y50" t="str">
        <x:v>■</x:v>
      </x:c>
      <x:c r="Z50" t="str">
        <x:v>■</x:v>
      </x:c>
      <x:c r="AA50"/>
      <x:c r="AB50"/>
      <x:c r="AC50"/>
      <x:c r="AD50"/>
      <x:c r="AE50"/>
      <x:c r="AF50"/>
      <x:c r="AG50"/>
      <x:c r="AH50"/>
      <x:c r="AI50"/>
      <x:c r="AJ50"/>
      <x:c r="AK50"/>
      <x:c r="AL50"/>
    </x:row>
    <x:row r="51" ht="24" customHeight="1">
      <x:c r="A51" s="33" t="str">
        <x:v>7.1.3</x:v>
      </x:c>
      <x:c r="B51" s="40" t="str">
        <x:v>Reporting</x:v>
      </x:c>
      <x:c r="C51" s="33" t="str">
        <x:v>Display available and occupied spaces</x:v>
      </x:c>
      <x:c r="D51" s="90" t="n">
        <x:v>46414</x:v>
      </x:c>
      <x:c r="E51" s="90" t="n">
        <x:v>46420</x:v>
      </x:c>
      <x:c r="F51" s="94" t="n">
        <x:f t="shared" si="5"/>
        <x:v>5</x:v>
      </x:c>
      <x:c r="G51" s="12" t="str">
        <x:v>Planned</x:v>
      </x:c>
      <x:c r="H51" s="13">
        <x:f t="shared" si="6"/>
      </x:c>
      <x:c r="I51" s="13">
        <x:f t="shared" si="6"/>
      </x:c>
      <x:c r="J51" s="13">
        <x:f t="shared" si="6"/>
      </x:c>
      <x:c r="K51" s="13">
        <x:f t="shared" si="6"/>
      </x:c>
      <x:c r="L51" s="13">
        <x:f t="shared" si="6"/>
      </x:c>
      <x:c r="M51" s="13">
        <x:f t="shared" si="6"/>
      </x:c>
      <x:c r="N51" s="13">
        <x:f t="shared" si="6"/>
      </x:c>
      <x:c r="O51" s="13">
        <x:f t="shared" si="6"/>
      </x:c>
      <x:c r="P51" s="13">
        <x:f t="shared" si="6"/>
      </x:c>
      <x:c r="Q51" s="13">
        <x:f t="shared" si="6"/>
      </x:c>
      <x:c r="R51" s="24">
        <x:f t="shared" si="6"/>
      </x:c>
      <x:c r="S51" s="24">
        <x:f t="shared" si="6"/>
      </x:c>
      <x:c r="T51" s="13">
        <x:f t="shared" si="6"/>
      </x:c>
      <x:c r="U51" s="13">
        <x:f t="shared" si="6"/>
      </x:c>
      <x:c r="V51" s="13">
        <x:f t="shared" si="6"/>
      </x:c>
      <x:c r="W51" s="13">
        <x:f t="shared" si="6"/>
      </x:c>
      <x:c r="X51"/>
      <x:c r="Y51"/>
      <x:c r="Z51" t="str">
        <x:v>■</x:v>
      </x:c>
      <x:c r="AA51" t="str">
        <x:v>■</x:v>
      </x:c>
      <x:c r="AB51"/>
      <x:c r="AC51"/>
      <x:c r="AD51"/>
      <x:c r="AE51"/>
      <x:c r="AF51"/>
      <x:c r="AG51"/>
      <x:c r="AH51"/>
      <x:c r="AI51"/>
      <x:c r="AJ51"/>
      <x:c r="AK51"/>
      <x:c r="AL51"/>
    </x:row>
    <x:row r="52" ht="24" customHeight="1">
      <x:c r="A52" s="33" t="str">
        <x:v>7.1.4</x:v>
      </x:c>
      <x:c r="B52" s="40" t="str">
        <x:v>Reporting</x:v>
      </x:c>
      <x:c r="C52" s="33" t="str">
        <x:v>Parking availability status (Available / Limited / Full)</x:v>
      </x:c>
      <x:c r="D52" s="90" t="n">
        <x:v>46433</x:v>
      </x:c>
      <x:c r="E52" s="90" t="n">
        <x:v>46444</x:v>
      </x:c>
      <x:c r="F52" s="94" t="n">
        <x:f t="shared" si="5"/>
        <x:v>10</x:v>
      </x:c>
      <x:c r="G52" s="12" t="str">
        <x:v>Planned</x:v>
      </x:c>
      <x:c r="H52" s="13">
        <x:f t="shared" si="6"/>
      </x:c>
      <x:c r="I52" s="13">
        <x:f t="shared" si="6"/>
      </x:c>
      <x:c r="J52" s="13">
        <x:f t="shared" si="6"/>
      </x:c>
      <x:c r="K52" s="13">
        <x:f t="shared" si="6"/>
      </x:c>
      <x:c r="L52" s="13">
        <x:f t="shared" si="6"/>
      </x:c>
      <x:c r="M52" s="13">
        <x:f t="shared" si="6"/>
      </x:c>
      <x:c r="N52" s="13">
        <x:f t="shared" si="6"/>
      </x:c>
      <x:c r="O52" s="13">
        <x:f t="shared" si="6"/>
      </x:c>
      <x:c r="P52" s="13">
        <x:f t="shared" si="6"/>
      </x:c>
      <x:c r="Q52" s="13">
        <x:f t="shared" si="6"/>
      </x:c>
      <x:c r="R52" s="13">
        <x:f t="shared" si="6"/>
      </x:c>
      <x:c r="S52" s="24">
        <x:f t="shared" si="6"/>
      </x:c>
      <x:c r="T52" s="13">
        <x:f t="shared" si="6"/>
      </x:c>
      <x:c r="U52" s="13">
        <x:f t="shared" si="6"/>
      </x:c>
      <x:c r="V52" s="13">
        <x:f t="shared" si="6"/>
      </x:c>
      <x:c r="W52" s="13">
        <x:f t="shared" si="6"/>
      </x:c>
      <x:c r="X52"/>
      <x:c r="Y52"/>
      <x:c r="Z52"/>
      <x:c r="AA52"/>
      <x:c r="AB52"/>
      <x:c r="AC52" t="str">
        <x:v>■</x:v>
      </x:c>
      <x:c r="AD52" t="str">
        <x:v>■</x:v>
      </x:c>
      <x:c r="AE52"/>
      <x:c r="AF52"/>
      <x:c r="AG52"/>
      <x:c r="AH52"/>
      <x:c r="AI52"/>
      <x:c r="AJ52"/>
      <x:c r="AK52"/>
      <x:c r="AL52"/>
    </x:row>
    <x:row r="53" ht="24" customHeight="1">
      <x:c r="A53" s="33" t="str">
        <x:v>7.2.1</x:v>
      </x:c>
      <x:c r="B53" s="40" t="str">
        <x:v>Reporting</x:v>
      </x:c>
      <x:c r="C53" s="33" t="str">
        <x:v>Track parking bills</x:v>
      </x:c>
      <x:c r="D53" s="90" t="n">
        <x:v>46405</x:v>
      </x:c>
      <x:c r="E53" s="90" t="n">
        <x:v>46412</x:v>
      </x:c>
      <x:c r="F53" s="94" t="n">
        <x:f t="shared" si="5"/>
        <x:v>6</x:v>
      </x:c>
      <x:c r="G53" s="12" t="str">
        <x:v>Planned</x:v>
      </x:c>
      <x:c r="H53" s="13">
        <x:f t="shared" si="6"/>
      </x:c>
      <x:c r="I53" s="13">
        <x:f t="shared" si="6"/>
      </x:c>
      <x:c r="J53" s="13">
        <x:f t="shared" si="6"/>
      </x:c>
      <x:c r="K53" s="13">
        <x:f t="shared" si="6"/>
      </x:c>
      <x:c r="L53" s="13">
        <x:f t="shared" si="6"/>
      </x:c>
      <x:c r="M53" s="13">
        <x:f t="shared" si="6"/>
      </x:c>
      <x:c r="N53" s="13">
        <x:f t="shared" si="6"/>
      </x:c>
      <x:c r="O53" s="13">
        <x:f t="shared" si="6"/>
      </x:c>
      <x:c r="P53" s="13">
        <x:f t="shared" si="6"/>
      </x:c>
      <x:c r="Q53" s="13">
        <x:f t="shared" si="6"/>
      </x:c>
      <x:c r="R53" s="13">
        <x:f t="shared" si="6"/>
      </x:c>
      <x:c r="S53" s="24">
        <x:f t="shared" si="6"/>
      </x:c>
      <x:c r="T53" s="13">
        <x:f t="shared" si="6"/>
      </x:c>
      <x:c r="U53" s="13">
        <x:f t="shared" si="6"/>
      </x:c>
      <x:c r="V53" s="13">
        <x:f t="shared" si="6"/>
      </x:c>
      <x:c r="W53" s="13">
        <x:f t="shared" si="6"/>
      </x:c>
      <x:c r="X53"/>
      <x:c r="Y53" t="str">
        <x:v>■</x:v>
      </x:c>
      <x:c r="Z53" t="str">
        <x:v>■</x:v>
      </x:c>
      <x:c r="AA53"/>
      <x:c r="AB53"/>
      <x:c r="AC53"/>
      <x:c r="AD53"/>
      <x:c r="AE53"/>
      <x:c r="AF53"/>
      <x:c r="AG53"/>
      <x:c r="AH53"/>
      <x:c r="AI53"/>
      <x:c r="AJ53"/>
      <x:c r="AK53"/>
      <x:c r="AL53"/>
    </x:row>
    <x:row r="54" ht="24" customHeight="1">
      <x:c r="A54" s="33" t="str">
        <x:v>7.2.2</x:v>
      </x:c>
      <x:c r="B54" s="40" t="str">
        <x:v>Reporting</x:v>
      </x:c>
      <x:c r="C54" s="33" t="str">
        <x:v>Generate bills due</x:v>
      </x:c>
      <x:c r="D54" s="90" t="n">
        <x:v>46414</x:v>
      </x:c>
      <x:c r="E54" s="90" t="n">
        <x:v>46420</x:v>
      </x:c>
      <x:c r="F54" s="94" t="n">
        <x:f t="shared" si="5"/>
        <x:v>5</x:v>
      </x:c>
      <x:c r="G54" s="12" t="str">
        <x:v>Planned</x:v>
      </x:c>
      <x:c r="H54" s="13">
        <x:f t="shared" si="6"/>
      </x:c>
      <x:c r="I54" s="13">
        <x:f t="shared" si="6"/>
      </x:c>
      <x:c r="J54" s="13">
        <x:f t="shared" si="6"/>
      </x:c>
      <x:c r="K54" s="13">
        <x:f t="shared" si="6"/>
      </x:c>
      <x:c r="L54" s="13">
        <x:f t="shared" si="6"/>
      </x:c>
      <x:c r="M54" s="13">
        <x:f t="shared" si="6"/>
      </x:c>
      <x:c r="N54" s="13">
        <x:f t="shared" si="6"/>
      </x:c>
      <x:c r="O54" s="13">
        <x:f t="shared" si="6"/>
      </x:c>
      <x:c r="P54" s="13">
        <x:f t="shared" si="6"/>
      </x:c>
      <x:c r="Q54" s="13">
        <x:f t="shared" si="6"/>
      </x:c>
      <x:c r="R54" s="13">
        <x:f t="shared" si="6"/>
      </x:c>
      <x:c r="S54" s="24">
        <x:f t="shared" si="6"/>
      </x:c>
      <x:c r="T54" s="24">
        <x:f t="shared" si="6"/>
      </x:c>
      <x:c r="U54" s="13">
        <x:f t="shared" si="6"/>
      </x:c>
      <x:c r="V54" s="13">
        <x:f t="shared" si="6"/>
      </x:c>
      <x:c r="W54" s="13">
        <x:f t="shared" si="6"/>
      </x:c>
      <x:c r="X54"/>
      <x:c r="Y54"/>
      <x:c r="Z54" t="str">
        <x:v>■</x:v>
      </x:c>
      <x:c r="AA54" t="str">
        <x:v>■</x:v>
      </x:c>
      <x:c r="AB54"/>
      <x:c r="AC54"/>
      <x:c r="AD54"/>
      <x:c r="AE54"/>
      <x:c r="AF54"/>
      <x:c r="AG54"/>
      <x:c r="AH54"/>
      <x:c r="AI54"/>
      <x:c r="AJ54"/>
      <x:c r="AK54"/>
      <x:c r="AL54"/>
    </x:row>
    <x:row r="55" ht="24" customHeight="1">
      <x:c r="A55" s="33" t="str">
        <x:v>7.2.3</x:v>
      </x:c>
      <x:c r="B55" s="40" t="str">
        <x:v>Reporting</x:v>
      </x:c>
      <x:c r="C55" s="33" t="str">
        <x:v>Request to mail bill</x:v>
      </x:c>
      <x:c r="D55" s="90" t="n">
        <x:v>46419</x:v>
      </x:c>
      <x:c r="E55" s="90" t="n">
        <x:v>46427</x:v>
      </x:c>
      <x:c r="F55" s="94" t="n">
        <x:f t="shared" si="5"/>
        <x:v>7</x:v>
      </x:c>
      <x:c r="G55" s="12" t="str">
        <x:v>Planned</x:v>
      </x:c>
      <x:c r="H55" s="13">
        <x:f t="shared" ref="H55:W62" si="7">IF(AND(H$5&lt;=$E55,H$5+6&gt;=$D55),"■","")</x:f>
      </x:c>
      <x:c r="I55" s="13">
        <x:f t="shared" si="7"/>
      </x:c>
      <x:c r="J55" s="13">
        <x:f t="shared" si="7"/>
      </x:c>
      <x:c r="K55" s="13">
        <x:f t="shared" si="7"/>
      </x:c>
      <x:c r="L55" s="13">
        <x:f t="shared" si="7"/>
      </x:c>
      <x:c r="M55" s="13">
        <x:f t="shared" si="7"/>
      </x:c>
      <x:c r="N55" s="13">
        <x:f t="shared" si="7"/>
      </x:c>
      <x:c r="O55" s="13">
        <x:f t="shared" si="7"/>
      </x:c>
      <x:c r="P55" s="13">
        <x:f t="shared" si="7"/>
      </x:c>
      <x:c r="Q55" s="13">
        <x:f t="shared" si="7"/>
      </x:c>
      <x:c r="R55" s="13">
        <x:f t="shared" si="7"/>
      </x:c>
      <x:c r="S55" s="24">
        <x:f t="shared" si="7"/>
      </x:c>
      <x:c r="T55" s="24">
        <x:f t="shared" si="7"/>
      </x:c>
      <x:c r="U55" s="13">
        <x:f t="shared" si="7"/>
      </x:c>
      <x:c r="V55" s="13">
        <x:f t="shared" si="7"/>
      </x:c>
      <x:c r="W55" s="13">
        <x:f t="shared" si="7"/>
      </x:c>
      <x:c r="X55"/>
      <x:c r="Y55"/>
      <x:c r="Z55"/>
      <x:c r="AA55" t="str">
        <x:v>■</x:v>
      </x:c>
      <x:c r="AB55" t="str">
        <x:v>■</x:v>
      </x:c>
      <x:c r="AC55"/>
      <x:c r="AD55"/>
      <x:c r="AE55"/>
      <x:c r="AF55"/>
      <x:c r="AG55"/>
      <x:c r="AH55"/>
      <x:c r="AI55"/>
      <x:c r="AJ55"/>
      <x:c r="AK55"/>
      <x:c r="AL55"/>
    </x:row>
    <x:row r="56" ht="24" customHeight="1">
      <x:c r="A56" s="33" t="str">
        <x:v>7.2.4</x:v>
      </x:c>
      <x:c r="B56" s="40" t="str">
        <x:v>Reporting</x:v>
      </x:c>
      <x:c r="C56" s="33" t="str">
        <x:v>Bill dispute option</x:v>
      </x:c>
      <x:c r="D56" s="90" t="n">
        <x:v>46426</x:v>
      </x:c>
      <x:c r="E56" s="90" t="n">
        <x:v>46433</x:v>
      </x:c>
      <x:c r="F56" s="94" t="n">
        <x:f t="shared" si="5"/>
        <x:v>6</x:v>
      </x:c>
      <x:c r="G56" s="12" t="str">
        <x:v>Planned</x:v>
      </x:c>
      <x:c r="H56" s="13">
        <x:f t="shared" si="7"/>
      </x:c>
      <x:c r="I56" s="13">
        <x:f t="shared" si="7"/>
      </x:c>
      <x:c r="J56" s="13">
        <x:f t="shared" si="7"/>
      </x:c>
      <x:c r="K56" s="13">
        <x:f t="shared" si="7"/>
      </x:c>
      <x:c r="L56" s="13">
        <x:f t="shared" si="7"/>
      </x:c>
      <x:c r="M56" s="13">
        <x:f t="shared" si="7"/>
      </x:c>
      <x:c r="N56" s="13">
        <x:f t="shared" si="7"/>
      </x:c>
      <x:c r="O56" s="13">
        <x:f t="shared" si="7"/>
      </x:c>
      <x:c r="P56" s="13">
        <x:f t="shared" si="7"/>
      </x:c>
      <x:c r="Q56" s="13">
        <x:f t="shared" si="7"/>
      </x:c>
      <x:c r="R56" s="13">
        <x:f t="shared" si="7"/>
      </x:c>
      <x:c r="S56" s="24">
        <x:f t="shared" si="7"/>
      </x:c>
      <x:c r="T56" s="13">
        <x:f t="shared" si="7"/>
      </x:c>
      <x:c r="U56" s="13">
        <x:f t="shared" si="7"/>
      </x:c>
      <x:c r="V56" s="13">
        <x:f t="shared" si="7"/>
      </x:c>
      <x:c r="W56" s="13">
        <x:f t="shared" si="7"/>
      </x:c>
      <x:c r="X56"/>
      <x:c r="Y56"/>
      <x:c r="Z56"/>
      <x:c r="AA56"/>
      <x:c r="AB56" t="str">
        <x:v>■</x:v>
      </x:c>
      <x:c r="AC56" t="str">
        <x:v>■</x:v>
      </x:c>
      <x:c r="AD56"/>
      <x:c r="AE56"/>
      <x:c r="AF56"/>
      <x:c r="AG56"/>
      <x:c r="AH56"/>
      <x:c r="AI56"/>
      <x:c r="AJ56"/>
      <x:c r="AK56"/>
      <x:c r="AL56"/>
    </x:row>
    <x:row r="57" ht="24" customHeight="1">
      <x:c r="A57" s="33" t="str">
        <x:v>7.3.1</x:v>
      </x:c>
      <x:c r="B57" s="40" t="str">
        <x:v>Reporting</x:v>
      </x:c>
      <x:c r="C57" s="33" t="str">
        <x:v>View parking activity</x:v>
      </x:c>
      <x:c r="D57" s="90" t="n">
        <x:v>46426</x:v>
      </x:c>
      <x:c r="E57" s="90" t="n">
        <x:v>46430</x:v>
      </x:c>
      <x:c r="F57" s="94" t="n">
        <x:f t="shared" si="5"/>
        <x:v>5</x:v>
      </x:c>
      <x:c r="G57" s="12" t="str">
        <x:v>Planned</x:v>
      </x:c>
      <x:c r="H57" s="13">
        <x:f t="shared" si="7"/>
      </x:c>
      <x:c r="I57" s="13">
        <x:f t="shared" si="7"/>
      </x:c>
      <x:c r="J57" s="13">
        <x:f t="shared" si="7"/>
      </x:c>
      <x:c r="K57" s="13">
        <x:f t="shared" si="7"/>
      </x:c>
      <x:c r="L57" s="13">
        <x:f t="shared" si="7"/>
      </x:c>
      <x:c r="M57" s="13">
        <x:f t="shared" si="7"/>
      </x:c>
      <x:c r="N57" s="13">
        <x:f t="shared" si="7"/>
      </x:c>
      <x:c r="O57" s="13">
        <x:f t="shared" si="7"/>
      </x:c>
      <x:c r="P57" s="13">
        <x:f t="shared" si="7"/>
      </x:c>
      <x:c r="Q57" s="13">
        <x:f t="shared" si="7"/>
      </x:c>
      <x:c r="R57" s="13">
        <x:f t="shared" si="7"/>
      </x:c>
      <x:c r="S57" s="24">
        <x:f t="shared" si="7"/>
      </x:c>
      <x:c r="T57" s="13">
        <x:f t="shared" si="7"/>
      </x:c>
      <x:c r="U57" s="13">
        <x:f t="shared" si="7"/>
      </x:c>
      <x:c r="V57" s="13">
        <x:f t="shared" si="7"/>
      </x:c>
      <x:c r="W57" s="13">
        <x:f t="shared" si="7"/>
      </x:c>
      <x:c r="X57"/>
      <x:c r="Y57"/>
      <x:c r="Z57"/>
      <x:c r="AA57"/>
      <x:c r="AB57" t="str">
        <x:v>■</x:v>
      </x:c>
      <x:c r="AC57"/>
      <x:c r="AD57"/>
      <x:c r="AE57"/>
      <x:c r="AF57"/>
      <x:c r="AG57"/>
      <x:c r="AH57"/>
      <x:c r="AI57"/>
      <x:c r="AJ57"/>
      <x:c r="AK57"/>
      <x:c r="AL57"/>
    </x:row>
    <x:row r="58" ht="24" customHeight="1">
      <x:c r="A58" s="33" t="str">
        <x:v>7.3.2</x:v>
      </x:c>
      <x:c r="B58" s="40" t="str">
        <x:v>Reporting</x:v>
      </x:c>
      <x:c r="C58" s="33" t="str">
        <x:v>View payment activity</x:v>
      </x:c>
      <x:c r="D58" s="90" t="n">
        <x:v>46428</x:v>
      </x:c>
      <x:c r="E58" s="90" t="n">
        <x:v>46436</x:v>
      </x:c>
      <x:c r="F58" s="94" t="n">
        <x:f t="shared" si="5"/>
        <x:v>7</x:v>
      </x:c>
      <x:c r="G58" s="12" t="str">
        <x:v>Planned</x:v>
      </x:c>
      <x:c r="H58" s="13">
        <x:f t="shared" si="7"/>
      </x:c>
      <x:c r="I58" s="13">
        <x:f t="shared" si="7"/>
      </x:c>
      <x:c r="J58" s="13">
        <x:f t="shared" si="7"/>
      </x:c>
      <x:c r="K58" s="13">
        <x:f t="shared" si="7"/>
      </x:c>
      <x:c r="L58" s="13">
        <x:f t="shared" si="7"/>
      </x:c>
      <x:c r="M58" s="13">
        <x:f t="shared" si="7"/>
      </x:c>
      <x:c r="N58" s="13">
        <x:f t="shared" si="7"/>
      </x:c>
      <x:c r="O58" s="13">
        <x:f t="shared" si="7"/>
      </x:c>
      <x:c r="P58" s="13">
        <x:f t="shared" si="7"/>
      </x:c>
      <x:c r="Q58" s="13">
        <x:f t="shared" si="7"/>
      </x:c>
      <x:c r="R58" s="13">
        <x:f t="shared" si="7"/>
      </x:c>
      <x:c r="S58" s="24">
        <x:f t="shared" si="7"/>
      </x:c>
      <x:c r="T58" s="24">
        <x:f t="shared" si="7"/>
      </x:c>
      <x:c r="U58" s="13">
        <x:f t="shared" si="7"/>
      </x:c>
      <x:c r="V58" s="13">
        <x:f t="shared" si="7"/>
      </x:c>
      <x:c r="W58" s="13">
        <x:f t="shared" si="7"/>
      </x:c>
      <x:c r="X58"/>
      <x:c r="Y58"/>
      <x:c r="Z58"/>
      <x:c r="AA58"/>
      <x:c r="AB58" t="str">
        <x:v>■</x:v>
      </x:c>
      <x:c r="AC58" t="str">
        <x:v>■</x:v>
      </x:c>
      <x:c r="AD58"/>
      <x:c r="AE58"/>
      <x:c r="AF58"/>
      <x:c r="AG58"/>
      <x:c r="AH58"/>
      <x:c r="AI58"/>
      <x:c r="AJ58"/>
      <x:c r="AK58"/>
      <x:c r="AL58"/>
    </x:row>
    <x:row r="59" ht="24" customHeight="1">
      <x:c r="A59" s="33" t="str">
        <x:v>7.3.3</x:v>
      </x:c>
      <x:c r="B59" s="40" t="str">
        <x:v>Reporting</x:v>
      </x:c>
      <x:c r="C59" s="33" t="str">
        <x:v>View user activity</x:v>
      </x:c>
      <x:c r="D59" s="90" t="n">
        <x:v>46433</x:v>
      </x:c>
      <x:c r="E59" s="90" t="n">
        <x:v>46440</x:v>
      </x:c>
      <x:c r="F59" s="94" t="n">
        <x:f t="shared" si="5"/>
        <x:v>6</x:v>
      </x:c>
      <x:c r="G59" s="12" t="str">
        <x:v>Planned</x:v>
      </x:c>
      <x:c r="H59" s="13">
        <x:f t="shared" si="7"/>
      </x:c>
      <x:c r="I59" s="13">
        <x:f t="shared" si="7"/>
      </x:c>
      <x:c r="J59" s="13">
        <x:f t="shared" si="7"/>
      </x:c>
      <x:c r="K59" s="13">
        <x:f t="shared" si="7"/>
      </x:c>
      <x:c r="L59" s="13">
        <x:f t="shared" si="7"/>
      </x:c>
      <x:c r="M59" s="13">
        <x:f t="shared" si="7"/>
      </x:c>
      <x:c r="N59" s="13">
        <x:f t="shared" si="7"/>
      </x:c>
      <x:c r="O59" s="13">
        <x:f t="shared" si="7"/>
      </x:c>
      <x:c r="P59" s="13">
        <x:f t="shared" si="7"/>
      </x:c>
      <x:c r="Q59" s="13">
        <x:f t="shared" si="7"/>
      </x:c>
      <x:c r="R59" s="13">
        <x:f t="shared" si="7"/>
      </x:c>
      <x:c r="S59" s="13">
        <x:f t="shared" si="7"/>
      </x:c>
      <x:c r="T59" s="24">
        <x:f t="shared" si="7"/>
      </x:c>
      <x:c r="U59" s="13">
        <x:f t="shared" si="7"/>
      </x:c>
      <x:c r="V59" s="13">
        <x:f t="shared" si="7"/>
      </x:c>
      <x:c r="W59" s="13">
        <x:f t="shared" si="7"/>
      </x:c>
      <x:c r="X59"/>
      <x:c r="Y59"/>
      <x:c r="Z59"/>
      <x:c r="AA59"/>
      <x:c r="AB59"/>
      <x:c r="AC59" t="str">
        <x:v>■</x:v>
      </x:c>
      <x:c r="AD59" t="str">
        <x:v>■</x:v>
      </x:c>
      <x:c r="AE59"/>
      <x:c r="AF59"/>
      <x:c r="AG59"/>
      <x:c r="AH59"/>
      <x:c r="AI59"/>
      <x:c r="AJ59"/>
      <x:c r="AK59"/>
      <x:c r="AL59"/>
    </x:row>
    <x:row r="60" ht="24" customHeight="1">
      <x:c r="A60" s="33" t="str">
        <x:v>7.4.1</x:v>
      </x:c>
      <x:c r="B60" s="40" t="str">
        <x:v>Reporting</x:v>
      </x:c>
      <x:c r="C60" s="33" t="str">
        <x:v>Citation selection</x:v>
      </x:c>
      <x:c r="D60" s="90" t="n">
        <x:v>46426</x:v>
      </x:c>
      <x:c r="E60" s="90" t="n">
        <x:v>46428</x:v>
      </x:c>
      <x:c r="F60" s="94" t="n">
        <x:f t="shared" si="5"/>
        <x:v>3</x:v>
      </x:c>
      <x:c r="G60" s="12" t="str">
        <x:v>Planned</x:v>
      </x:c>
      <x:c r="H60" s="13">
        <x:f t="shared" si="7"/>
      </x:c>
      <x:c r="I60" s="13">
        <x:f t="shared" si="7"/>
      </x:c>
      <x:c r="J60" s="13">
        <x:f t="shared" si="7"/>
      </x:c>
      <x:c r="K60" s="13">
        <x:f t="shared" si="7"/>
      </x:c>
      <x:c r="L60" s="13">
        <x:f t="shared" si="7"/>
      </x:c>
      <x:c r="M60" s="13">
        <x:f t="shared" si="7"/>
      </x:c>
      <x:c r="N60" s="13">
        <x:f t="shared" si="7"/>
      </x:c>
      <x:c r="O60" s="13">
        <x:f t="shared" si="7"/>
      </x:c>
      <x:c r="P60" s="13">
        <x:f t="shared" si="7"/>
      </x:c>
      <x:c r="Q60" s="13">
        <x:f t="shared" si="7"/>
      </x:c>
      <x:c r="R60" s="13">
        <x:f t="shared" si="7"/>
      </x:c>
      <x:c r="S60" s="13">
        <x:f t="shared" si="7"/>
      </x:c>
      <x:c r="T60" s="13">
        <x:f t="shared" si="7"/>
      </x:c>
      <x:c r="U60" s="24">
        <x:f t="shared" si="7"/>
      </x:c>
      <x:c r="V60" s="13">
        <x:f t="shared" si="7"/>
      </x:c>
      <x:c r="W60" s="13">
        <x:f t="shared" si="7"/>
      </x:c>
      <x:c r="X60"/>
      <x:c r="Y60"/>
      <x:c r="Z60"/>
      <x:c r="AA60"/>
      <x:c r="AB60" t="str">
        <x:v>■</x:v>
      </x:c>
      <x:c r="AC60"/>
      <x:c r="AD60"/>
      <x:c r="AE60"/>
      <x:c r="AF60"/>
      <x:c r="AG60"/>
      <x:c r="AH60"/>
      <x:c r="AI60"/>
      <x:c r="AJ60"/>
      <x:c r="AK60"/>
      <x:c r="AL60"/>
    </x:row>
    <x:row r="61" ht="24" customHeight="1">
      <x:c r="A61" s="33" t="str">
        <x:v>7.4.2</x:v>
      </x:c>
      <x:c r="B61" s="41" t="str">
        <x:v>Reporting</x:v>
      </x:c>
      <x:c r="C61" s="33" t="str">
        <x:v>Citation price</x:v>
      </x:c>
      <x:c r="D61" s="90" t="n">
        <x:v>46428</x:v>
      </x:c>
      <x:c r="E61" s="90" t="n">
        <x:v>46433</x:v>
      </x:c>
      <x:c r="F61" s="94" t="n">
        <x:f t="shared" si="5"/>
        <x:v>4</x:v>
      </x:c>
      <x:c r="G61" s="12" t="str">
        <x:v>Planned</x:v>
      </x:c>
      <x:c r="H61" s="13">
        <x:f t="shared" si="7"/>
      </x:c>
      <x:c r="I61" s="13">
        <x:f t="shared" si="7"/>
      </x:c>
      <x:c r="J61" s="13">
        <x:f t="shared" si="7"/>
      </x:c>
      <x:c r="K61" s="13">
        <x:f t="shared" si="7"/>
      </x:c>
      <x:c r="L61" s="13">
        <x:f t="shared" si="7"/>
      </x:c>
      <x:c r="M61" s="13">
        <x:f t="shared" si="7"/>
      </x:c>
      <x:c r="N61" s="13">
        <x:f t="shared" si="7"/>
      </x:c>
      <x:c r="O61" s="13">
        <x:f t="shared" si="7"/>
      </x:c>
      <x:c r="P61" s="13">
        <x:f t="shared" si="7"/>
      </x:c>
      <x:c r="Q61" s="13">
        <x:f t="shared" si="7"/>
      </x:c>
      <x:c r="R61" s="13">
        <x:f t="shared" si="7"/>
      </x:c>
      <x:c r="S61" s="13">
        <x:f t="shared" si="7"/>
      </x:c>
      <x:c r="T61" s="13">
        <x:f t="shared" si="7"/>
      </x:c>
      <x:c r="U61" s="13">
        <x:f t="shared" si="7"/>
      </x:c>
      <x:c r="V61" s="13">
        <x:f t="shared" si="7"/>
      </x:c>
      <x:c r="W61" s="25">
        <x:f t="shared" si="7"/>
      </x:c>
      <x:c r="X61"/>
      <x:c r="Y61"/>
      <x:c r="Z61"/>
      <x:c r="AA61"/>
      <x:c r="AB61" t="str">
        <x:v>■</x:v>
      </x:c>
      <x:c r="AC61" t="str">
        <x:v>■</x:v>
      </x:c>
      <x:c r="AD61"/>
      <x:c r="AE61"/>
      <x:c r="AF61"/>
      <x:c r="AG61"/>
      <x:c r="AH61"/>
      <x:c r="AI61"/>
      <x:c r="AJ61"/>
      <x:c r="AK61"/>
      <x:c r="AL61"/>
    </x:row>
    <x:row r="62" ht="24" customHeight="1">
      <x:c r="A62" s="42" t="str">
        <x:v>7.4.3</x:v>
      </x:c>
      <x:c r="B62" s="43" t="str">
        <x:v>Reporting</x:v>
      </x:c>
      <x:c r="C62" s="42" t="str">
        <x:v>Citation description</x:v>
      </x:c>
      <x:c r="D62" s="91" t="n">
        <x:v>46430</x:v>
      </x:c>
      <x:c r="E62" s="91" t="n">
        <x:v>46436</x:v>
      </x:c>
      <x:c r="F62" s="95" t="n">
        <x:f t="shared" si="5"/>
        <x:v>5</x:v>
      </x:c>
      <x:c r="G62" s="15" t="str">
        <x:v>Planned</x:v>
      </x:c>
      <x:c r="H62" s="16">
        <x:f t="shared" si="7"/>
      </x:c>
      <x:c r="I62" s="16">
        <x:f t="shared" si="7"/>
      </x:c>
      <x:c r="J62" s="16">
        <x:f t="shared" si="7"/>
      </x:c>
      <x:c r="K62" s="16">
        <x:f t="shared" si="7"/>
      </x:c>
      <x:c r="L62" s="16">
        <x:f t="shared" si="7"/>
      </x:c>
      <x:c r="M62" s="16">
        <x:f t="shared" si="7"/>
      </x:c>
      <x:c r="N62" s="16">
        <x:f t="shared" si="7"/>
      </x:c>
      <x:c r="O62" s="16">
        <x:f t="shared" si="7"/>
      </x:c>
      <x:c r="P62" s="16">
        <x:f t="shared" si="7"/>
      </x:c>
      <x:c r="Q62" s="16">
        <x:f t="shared" si="7"/>
      </x:c>
      <x:c r="R62" s="16">
        <x:f t="shared" si="7"/>
      </x:c>
      <x:c r="S62" s="16">
        <x:f t="shared" si="7"/>
      </x:c>
      <x:c r="T62" s="16">
        <x:f t="shared" si="7"/>
      </x:c>
      <x:c r="U62" s="16">
        <x:f t="shared" si="7"/>
      </x:c>
      <x:c r="V62" s="16">
        <x:f t="shared" si="7"/>
      </x:c>
      <x:c r="W62" s="26">
        <x:f t="shared" si="7"/>
      </x:c>
      <x:c r="X62"/>
      <x:c r="Y62"/>
      <x:c r="Z62"/>
      <x:c r="AA62"/>
      <x:c r="AB62" t="str">
        <x:v>■</x:v>
      </x:c>
      <x:c r="AC62" t="str">
        <x:v>■</x:v>
      </x:c>
      <x:c r="AD62"/>
      <x:c r="AE62"/>
      <x:c r="AF62"/>
      <x:c r="AG62"/>
      <x:c r="AH62"/>
      <x:c r="AI62"/>
      <x:c r="AJ62"/>
      <x:c r="AK62"/>
      <x:c r="AL62"/>
    </x:row>
    <x:row r="63">
      <x:c r="A63" t="str">
        <x:v>7.4.4</x:v>
      </x:c>
      <x:c r="B63" t="str">
        <x:v>Reporting</x:v>
      </x:c>
      <x:c r="C63" t="str">
        <x:v>Citation payment</x:v>
      </x:c>
      <x:c r="D63" s="92" t="n">
        <x:v>46436</x:v>
      </x:c>
      <x:c r="E63" s="92" t="n">
        <x:v>46442</x:v>
      </x:c>
      <x:c r="F63" s="96" t="n">
        <x:v>5</x:v>
      </x:c>
      <x:c r="G63" t="str">
        <x:v>Planned</x:v>
      </x:c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 t="str">
        <x:v>■</x:v>
      </x:c>
      <x:c r="AD63" t="str">
        <x:v>■</x:v>
      </x:c>
      <x:c r="AE63"/>
      <x:c r="AF63"/>
      <x:c r="AG63"/>
      <x:c r="AH63"/>
      <x:c r="AI63"/>
      <x:c r="AJ63"/>
      <x:c r="AK63"/>
      <x:c r="AL63"/>
    </x:row>
    <x:row r="64">
      <x:c r="A64" s="27" t="str">
        <x:v>7.M</x:v>
      </x:c>
      <x:c r="B64" s="27" t="str">
        <x:v>Reporting</x:v>
      </x:c>
      <x:c r="C64" s="27" t="str">
        <x:v>Reporting acceptance test</x:v>
      </x:c>
      <x:c r="D64" s="92" t="n">
        <x:v>46447</x:v>
      </x:c>
      <x:c r="E64" s="92" t="n">
        <x:v>46450</x:v>
      </x:c>
      <x:c r="F64" s="96" t="n">
        <x:v>4</x:v>
      </x:c>
      <x:c r="G64" t="str">
        <x:v>Milestone</x:v>
      </x:c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  <x:c r="AE64" t="str">
        <x:v>■</x:v>
      </x:c>
      <x:c r="AF64"/>
      <x:c r="AG64"/>
      <x:c r="AH64"/>
      <x:c r="AI64"/>
      <x:c r="AJ64"/>
      <x:c r="AK64"/>
      <x:c r="AL64"/>
    </x:row>
    <x:row r="65">
      <x:c r="A65" t="str">
        <x:v>8.2</x:v>
      </x:c>
      <x:c r="B65" s="28" t="str">
        <x:v>Release</x:v>
      </x:c>
      <x:c r="C65" s="28" t="str">
        <x:v>User acceptance testing</x:v>
      </x:c>
      <x:c r="D65" s="92" t="n">
        <x:v>46482</x:v>
      </x:c>
      <x:c r="E65" s="92" t="n">
        <x:v>46491</x:v>
      </x:c>
      <x:c r="F65" s="96" t="n">
        <x:v>8</x:v>
      </x:c>
      <x:c r="G65" t="str">
        <x:v>Planned</x:v>
      </x:c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  <x:c r="AE65"/>
      <x:c r="AF65"/>
      <x:c r="AG65"/>
      <x:c r="AH65"/>
      <x:c r="AI65"/>
      <x:c r="AJ65" t="str">
        <x:v>■</x:v>
      </x:c>
      <x:c r="AK65" t="str">
        <x:v>■</x:v>
      </x:c>
      <x:c r="AL65"/>
    </x:row>
    <x:row r="66">
      <x:c r="A66" t="str">
        <x:v>8.3</x:v>
      </x:c>
      <x:c r="B66" t="str">
        <x:v>Release</x:v>
      </x:c>
      <x:c r="C66" t="str">
        <x:v>Release and monitoring</x:v>
      </x:c>
      <x:c r="D66" s="92" t="n">
        <x:v>46496</x:v>
      </x:c>
      <x:c r="E66" s="92" t="n">
        <x:v>46497</x:v>
      </x:c>
      <x:c r="F66" s="96" t="n">
        <x:v>2</x:v>
      </x:c>
      <x:c r="G66" t="str">
        <x:v>Milestone</x:v>
      </x:c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  <x:c r="AA66"/>
      <x:c r="AB66"/>
      <x:c r="AC66"/>
      <x:c r="AD66"/>
      <x:c r="AE66"/>
      <x:c r="AF66"/>
      <x:c r="AG66"/>
      <x:c r="AH66"/>
      <x:c r="AI66"/>
      <x:c r="AJ66"/>
      <x:c r="AK66"/>
      <x:c r="AL66" t="str">
        <x:v>■</x:v>
      </x:c>
    </x:row>
    <x:row r="67">
      <x:c r="A67" s="29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  <x:c r="AE67"/>
      <x:c r="AF67"/>
      <x:c r="AG67"/>
      <x:c r="AH67"/>
      <x:c r="AI67"/>
      <x:c r="AJ67"/>
      <x:c r="AK67"/>
      <x:c r="AL67"/>
    </x:row>
    <x:row r="68">
      <x:c r="A68" s="30"/>
      <x:c r="B68" s="30" t="str">
        <x:v>Planned start</x:v>
      </x:c>
      <x:c r="C68" s="30" t="str">
        <x:v>Planned finish </x:v>
      </x:c>
      <x:c r="D68" s="30"/>
      <x:c r="E68" s="30"/>
      <x:c r="F68" s="30"/>
      <x:c r="G68" s="30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/>
      <x:c r="AD68"/>
      <x:c r="AE68"/>
      <x:c r="AF68"/>
      <x:c r="AG68"/>
      <x:c r="AH68"/>
      <x:c r="AI68"/>
      <x:c r="AJ68"/>
      <x:c r="AK68"/>
      <x:c r="AL68"/>
    </x:row>
    <x:row r="69">
      <x:c r="A69" t="str">
        <x:v>66 planned deliverables / milestones</x:v>
      </x:c>
      <x:c r="B69" s="92" t="n">
        <x:v>46286</x:v>
      </x:c>
      <x:c r="C69" s="92" t="n">
        <x:v>46497</x:v>
      </x:c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  <x:c r="AE69"/>
      <x:c r="AF69"/>
      <x:c r="AG69"/>
      <x:c r="AH69"/>
      <x:c r="AI69"/>
      <x:c r="AJ69"/>
      <x:c r="AK69"/>
      <x:c r="AL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  <x:c r="AD70"/>
      <x:c r="AE70"/>
      <x:c r="AF70"/>
      <x:c r="AG70"/>
      <x:c r="AH70"/>
      <x:c r="AI70"/>
      <x:c r="AJ70"/>
      <x:c r="AK70"/>
      <x:c r="AL70"/>
    </x:row>
    <x:row r="71">
      <x:c r="A71" t="str">
        <x:v>Seven-month schedule assumption</x:v>
      </x:c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/>
      <x:c r="AD71"/>
      <x:c r="AE71"/>
      <x:c r="AF71"/>
      <x:c r="AG71"/>
      <x:c r="AH71"/>
      <x:c r="AI71"/>
      <x:c r="AJ71"/>
      <x:c r="AK71"/>
      <x:c r="AL71"/>
    </x:row>
    <x:row r="72">
      <x:c r="A72" t="str">
        <x:v>Revised planning note: seven-month staffing assumption; the schedule is proposed and requires team validation. Extra QA, integration, and handoff activities have been included.</x:v>
      </x:c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  <x:c r="AE72"/>
      <x:c r="AF72"/>
      <x:c r="AG72"/>
      <x:c r="AH72"/>
      <x:c r="AI72"/>
      <x:c r="AJ72"/>
      <x:c r="AK72"/>
      <x:c r="AL72"/>
    </x:row>
    <x:row r="74">
      <x:c r="A74" t="str">
        <x:v>0.1</x:v>
      </x:c>
      <x:c r="B74" t="str">
        <x:v>Planning</x:v>
      </x:c>
      <x:c r="C74" t="str">
        <x:v>Requirements review and scope baseline</x:v>
      </x:c>
      <x:c r="D74" s="92" t="n">
        <x:v>46286</x:v>
      </x:c>
      <x:c r="E74" s="92" t="n">
        <x:v>46304</x:v>
      </x:c>
      <x:c r="F74" s="96" t="n">
        <x:v>15</x:v>
      </x:c>
      <x:c r="G74" t="str">
        <x:v>Planned</x:v>
      </x:c>
      <x:c r="H74" t="str">
        <x:v>■</x:v>
      </x:c>
      <x:c r="I74" t="str">
        <x:v>■</x:v>
      </x:c>
      <x:c r="J74" t="str">
        <x:v>■</x:v>
      </x:c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  <x:c r="AA74"/>
      <x:c r="AB74"/>
      <x:c r="AC74"/>
      <x:c r="AD74"/>
      <x:c r="AE74"/>
      <x:c r="AF74"/>
      <x:c r="AG74"/>
      <x:c r="AH74"/>
      <x:c r="AI74"/>
      <x:c r="AJ74"/>
      <x:c r="AK74"/>
      <x:c r="AL74"/>
    </x:row>
    <x:row r="75">
      <x:c r="A75" t="str">
        <x:v>0.2</x:v>
      </x:c>
      <x:c r="B75" t="str">
        <x:v>Planning</x:v>
      </x:c>
      <x:c r="C75" t="str">
        <x:v>Architecture and UX planning</x:v>
      </x:c>
      <x:c r="D75" s="92" t="n">
        <x:v>46300</x:v>
      </x:c>
      <x:c r="E75" s="92" t="n">
        <x:v>46325</x:v>
      </x:c>
      <x:c r="F75" s="96" t="n">
        <x:v>20</x:v>
      </x:c>
      <x:c r="G75" t="str">
        <x:v>Planned</x:v>
      </x:c>
      <x:c r="H75"/>
      <x:c r="I75"/>
      <x:c r="J75" t="str">
        <x:v>■</x:v>
      </x:c>
      <x:c r="K75" t="str">
        <x:v>■</x:v>
      </x:c>
      <x:c r="L75" t="str">
        <x:v>■</x:v>
      </x:c>
      <x:c r="M75" t="str">
        <x:v>■</x:v>
      </x:c>
      <x:c r="N75"/>
      <x:c r="O75"/>
      <x:c r="P75"/>
      <x:c r="Q75"/>
      <x:c r="R75"/>
      <x:c r="S75"/>
      <x:c r="T75"/>
      <x:c r="U75"/>
      <x:c r="V75"/>
      <x:c r="W75"/>
      <x:c r="X75"/>
      <x:c r="Y75"/>
      <x:c r="Z75"/>
      <x:c r="AA75"/>
      <x:c r="AB75"/>
      <x:c r="AC75"/>
      <x:c r="AD75"/>
      <x:c r="AE75"/>
      <x:c r="AF75"/>
      <x:c r="AG75"/>
      <x:c r="AH75"/>
      <x:c r="AI75"/>
      <x:c r="AJ75"/>
      <x:c r="AK75"/>
      <x:c r="AL75"/>
    </x:row>
    <x:row r="76">
      <x:c r="A76" t="str">
        <x:v>8.1</x:v>
      </x:c>
      <x:c r="B76" t="str">
        <x:v>Quality Assurance</x:v>
      </x:c>
      <x:c r="C76" t="str">
        <x:v>Integration and regression testing</x:v>
      </x:c>
      <x:c r="D76" s="92" t="n">
        <x:v>46454</x:v>
      </x:c>
      <x:c r="E76" s="92" t="n">
        <x:v>46479</x:v>
      </x:c>
      <x:c r="F76" s="96" t="n">
        <x:v>20</x:v>
      </x:c>
      <x:c r="G76" t="str">
        <x:v>Planned</x:v>
      </x:c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  <x:c r="AA76"/>
      <x:c r="AB76"/>
      <x:c r="AC76"/>
      <x:c r="AD76"/>
      <x:c r="AE76"/>
      <x:c r="AF76" t="str">
        <x:v>■</x:v>
      </x:c>
      <x:c r="AG76" t="str">
        <x:v>■</x:v>
      </x:c>
      <x:c r="AH76" t="str">
        <x:v>■</x:v>
      </x:c>
      <x:c r="AI76" t="str">
        <x:v>■</x:v>
      </x:c>
      <x:c r="AJ76"/>
      <x:c r="AK76"/>
      <x:c r="AL76"/>
    </x:row>
    <x:row r="77">
      <x:c r="A77" t="str">
        <x:v>8.1.1</x:v>
      </x:c>
      <x:c r="B77" t="str">
        <x:v>Quality Assurance</x:v>
      </x:c>
      <x:c r="C77" t="str">
        <x:v>Security, payment, and availability testing</x:v>
      </x:c>
      <x:c r="D77" s="92" t="n">
        <x:v>46468</x:v>
      </x:c>
      <x:c r="E77" s="92" t="n">
        <x:v>46486</x:v>
      </x:c>
      <x:c r="F77" s="96" t="n">
        <x:v>15</x:v>
      </x:c>
      <x:c r="G77" t="str">
        <x:v>Planned</x:v>
      </x:c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  <x:c r="AA77"/>
      <x:c r="AB77"/>
      <x:c r="AC77"/>
      <x:c r="AD77"/>
      <x:c r="AE77"/>
      <x:c r="AF77"/>
      <x:c r="AG77"/>
      <x:c r="AH77" t="str">
        <x:v>■</x:v>
      </x:c>
      <x:c r="AI77" t="str">
        <x:v>■</x:v>
      </x:c>
      <x:c r="AJ77" t="str">
        <x:v>■</x:v>
      </x:c>
      <x:c r="AK77"/>
      <x:c r="AL77"/>
    </x:row>
    <x:row r="78">
      <x:c r="A78" t="str">
        <x:v>8.4</x:v>
      </x:c>
      <x:c r="B78" t="str">
        <x:v>Release</x:v>
      </x:c>
      <x:c r="C78" t="str">
        <x:v>Project documentation and handoff</x:v>
      </x:c>
      <x:c r="D78" s="92" t="n">
        <x:v>46489</x:v>
      </x:c>
      <x:c r="E78" s="92" t="n">
        <x:v>46497</x:v>
      </x:c>
      <x:c r="F78" s="96" t="n">
        <x:v>7</x:v>
      </x:c>
      <x:c r="G78" t="str">
        <x:v>Planned</x:v>
      </x:c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  <x:c r="AA78"/>
      <x:c r="AB78"/>
      <x:c r="AC78"/>
      <x:c r="AD78"/>
      <x:c r="AE78"/>
      <x:c r="AF78"/>
      <x:c r="AG78"/>
      <x:c r="AH78"/>
      <x:c r="AI78"/>
      <x:c r="AJ78"/>
      <x:c r="AK78" t="str">
        <x:v>■</x:v>
      </x:c>
      <x:c r="AL78" t="str">
        <x:v>■</x:v>
      </x:c>
    </x:row>
  </x:sheetData>
  <x:pageMargins left="0.7" right="0.7" top="0.75" bottom="0.75" header="0.3" footer="0.3"/>
</x:worksheet>
</file>